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j\develop\repositorios\TaxReturn\src\main\resources\"/>
    </mc:Choice>
  </mc:AlternateContent>
  <xr:revisionPtr revIDLastSave="0" documentId="13_ncr:1_{2C935333-B477-414E-8EB0-4901590F7F94}" xr6:coauthVersionLast="47" xr6:coauthVersionMax="47" xr10:uidLastSave="{00000000-0000-0000-0000-000000000000}"/>
  <bookViews>
    <workbookView xWindow="-120" yWindow="-120" windowWidth="29040" windowHeight="15720" firstSheet="2" activeTab="6" xr2:uid="{00000000-000D-0000-FFFF-FFFF00000000}"/>
  </bookViews>
  <sheets>
    <sheet name="Proveedores" sheetId="6" r:id="rId1"/>
    <sheet name="Certificado" sheetId="5" r:id="rId2"/>
    <sheet name="ret. fuente 2025 JULIO " sheetId="8" r:id="rId3"/>
    <sheet name="ret. ICA 2025 JULIO" sheetId="9" r:id="rId4"/>
    <sheet name="ret. fuente 2025 enero junio" sheetId="1" r:id="rId5"/>
    <sheet name="ret. ICA 2025 enero junio" sheetId="2" r:id="rId6"/>
    <sheet name="RETENCION 2025" sheetId="7" r:id="rId7"/>
    <sheet name="INDICADORES" sheetId="4" r:id="rId8"/>
  </sheets>
  <definedNames>
    <definedName name="_xlnm.Print_Area" localSheetId="6">'RETENCION 2025'!$A$1:$R$39</definedName>
    <definedName name="RETEICAJULIO2025">retICA7[#All]</definedName>
    <definedName name="Tretefjulio2025">retfuente4[#All]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185" i="7" l="1"/>
  <c r="J102" i="7"/>
  <c r="K102" i="7" s="1"/>
  <c r="M102" i="7" s="1"/>
  <c r="L102" i="7"/>
  <c r="O102" i="7"/>
  <c r="P102" i="7"/>
  <c r="R102" i="7" s="1"/>
  <c r="S102" i="7" s="1"/>
  <c r="U102" i="7" s="1"/>
  <c r="Q102" i="7"/>
  <c r="J103" i="7"/>
  <c r="K103" i="7" s="1"/>
  <c r="M103" i="7" s="1"/>
  <c r="L103" i="7"/>
  <c r="O103" i="7"/>
  <c r="P103" i="7"/>
  <c r="Q103" i="7"/>
  <c r="R103" i="7" s="1"/>
  <c r="S103" i="7" s="1"/>
  <c r="U103" i="7" s="1"/>
  <c r="J104" i="7"/>
  <c r="K104" i="7" s="1"/>
  <c r="M104" i="7" s="1"/>
  <c r="L104" i="7"/>
  <c r="O104" i="7"/>
  <c r="P104" i="7"/>
  <c r="Q104" i="7"/>
  <c r="R104" i="7" s="1"/>
  <c r="J105" i="7"/>
  <c r="K105" i="7" s="1"/>
  <c r="M105" i="7" s="1"/>
  <c r="L105" i="7"/>
  <c r="O105" i="7"/>
  <c r="P105" i="7"/>
  <c r="R105" i="7" s="1"/>
  <c r="Q105" i="7"/>
  <c r="J106" i="7"/>
  <c r="K106" i="7" s="1"/>
  <c r="M106" i="7" s="1"/>
  <c r="S106" i="7" s="1"/>
  <c r="U106" i="7" s="1"/>
  <c r="L106" i="7"/>
  <c r="O106" i="7"/>
  <c r="P106" i="7"/>
  <c r="Q106" i="7"/>
  <c r="R106" i="7"/>
  <c r="J107" i="7"/>
  <c r="K107" i="7" s="1"/>
  <c r="M107" i="7" s="1"/>
  <c r="L107" i="7"/>
  <c r="O107" i="7"/>
  <c r="P107" i="7"/>
  <c r="R107" i="7" s="1"/>
  <c r="S107" i="7" s="1"/>
  <c r="U107" i="7" s="1"/>
  <c r="Q107" i="7"/>
  <c r="J108" i="7"/>
  <c r="K108" i="7" s="1"/>
  <c r="M108" i="7" s="1"/>
  <c r="L108" i="7"/>
  <c r="O108" i="7"/>
  <c r="P108" i="7"/>
  <c r="R108" i="7" s="1"/>
  <c r="S108" i="7" s="1"/>
  <c r="U108" i="7" s="1"/>
  <c r="Q108" i="7"/>
  <c r="J109" i="7"/>
  <c r="K109" i="7" s="1"/>
  <c r="M109" i="7" s="1"/>
  <c r="L109" i="7"/>
  <c r="O109" i="7"/>
  <c r="P109" i="7"/>
  <c r="R109" i="7" s="1"/>
  <c r="S109" i="7" s="1"/>
  <c r="U109" i="7" s="1"/>
  <c r="Q109" i="7"/>
  <c r="J110" i="7"/>
  <c r="K110" i="7" s="1"/>
  <c r="M110" i="7" s="1"/>
  <c r="S110" i="7" s="1"/>
  <c r="U110" i="7" s="1"/>
  <c r="L110" i="7"/>
  <c r="O110" i="7"/>
  <c r="P110" i="7"/>
  <c r="Q110" i="7"/>
  <c r="R110" i="7"/>
  <c r="J111" i="7"/>
  <c r="K111" i="7" s="1"/>
  <c r="M111" i="7" s="1"/>
  <c r="L111" i="7"/>
  <c r="O111" i="7"/>
  <c r="P111" i="7"/>
  <c r="R111" i="7" s="1"/>
  <c r="Q111" i="7"/>
  <c r="J112" i="7"/>
  <c r="K112" i="7" s="1"/>
  <c r="M112" i="7" s="1"/>
  <c r="S112" i="7" s="1"/>
  <c r="U112" i="7" s="1"/>
  <c r="L112" i="7"/>
  <c r="O112" i="7"/>
  <c r="P112" i="7"/>
  <c r="Q112" i="7"/>
  <c r="R112" i="7"/>
  <c r="J113" i="7"/>
  <c r="K113" i="7" s="1"/>
  <c r="M113" i="7" s="1"/>
  <c r="S113" i="7" s="1"/>
  <c r="U113" i="7" s="1"/>
  <c r="L113" i="7"/>
  <c r="O113" i="7"/>
  <c r="P113" i="7"/>
  <c r="Q113" i="7"/>
  <c r="R113" i="7"/>
  <c r="J114" i="7"/>
  <c r="K114" i="7" s="1"/>
  <c r="M114" i="7" s="1"/>
  <c r="L114" i="7"/>
  <c r="O114" i="7"/>
  <c r="P114" i="7"/>
  <c r="R114" i="7" s="1"/>
  <c r="Q114" i="7"/>
  <c r="J115" i="7"/>
  <c r="K115" i="7" s="1"/>
  <c r="M115" i="7" s="1"/>
  <c r="L115" i="7"/>
  <c r="O115" i="7"/>
  <c r="P115" i="7"/>
  <c r="R115" i="7" s="1"/>
  <c r="Q115" i="7"/>
  <c r="J116" i="7"/>
  <c r="K116" i="7" s="1"/>
  <c r="M116" i="7" s="1"/>
  <c r="S116" i="7" s="1"/>
  <c r="U116" i="7" s="1"/>
  <c r="L116" i="7"/>
  <c r="O116" i="7"/>
  <c r="P116" i="7"/>
  <c r="Q116" i="7"/>
  <c r="R116" i="7"/>
  <c r="J117" i="7"/>
  <c r="K117" i="7" s="1"/>
  <c r="M117" i="7" s="1"/>
  <c r="L117" i="7"/>
  <c r="O117" i="7"/>
  <c r="P117" i="7"/>
  <c r="R117" i="7" s="1"/>
  <c r="Q117" i="7"/>
  <c r="J118" i="7"/>
  <c r="K118" i="7" s="1"/>
  <c r="M118" i="7" s="1"/>
  <c r="L118" i="7"/>
  <c r="O118" i="7"/>
  <c r="P118" i="7"/>
  <c r="Q118" i="7"/>
  <c r="R118" i="7" s="1"/>
  <c r="S118" i="7" s="1"/>
  <c r="U118" i="7" s="1"/>
  <c r="J119" i="7"/>
  <c r="K119" i="7" s="1"/>
  <c r="M119" i="7" s="1"/>
  <c r="L119" i="7"/>
  <c r="O119" i="7"/>
  <c r="P119" i="7"/>
  <c r="Q119" i="7"/>
  <c r="R119" i="7" s="1"/>
  <c r="S119" i="7" s="1"/>
  <c r="U119" i="7" s="1"/>
  <c r="J120" i="7"/>
  <c r="K120" i="7" s="1"/>
  <c r="M120" i="7" s="1"/>
  <c r="L120" i="7"/>
  <c r="O120" i="7"/>
  <c r="P120" i="7"/>
  <c r="R120" i="7" s="1"/>
  <c r="Q120" i="7"/>
  <c r="J121" i="7"/>
  <c r="K121" i="7" s="1"/>
  <c r="M121" i="7" s="1"/>
  <c r="L121" i="7"/>
  <c r="O121" i="7"/>
  <c r="P121" i="7"/>
  <c r="R121" i="7" s="1"/>
  <c r="Q121" i="7"/>
  <c r="J122" i="7"/>
  <c r="K122" i="7" s="1"/>
  <c r="M122" i="7" s="1"/>
  <c r="S122" i="7" s="1"/>
  <c r="U122" i="7" s="1"/>
  <c r="L122" i="7"/>
  <c r="O122" i="7"/>
  <c r="P122" i="7"/>
  <c r="Q122" i="7"/>
  <c r="R122" i="7"/>
  <c r="J123" i="7"/>
  <c r="K123" i="7" s="1"/>
  <c r="M123" i="7" s="1"/>
  <c r="L123" i="7"/>
  <c r="O123" i="7"/>
  <c r="P123" i="7"/>
  <c r="R123" i="7" s="1"/>
  <c r="S123" i="7" s="1"/>
  <c r="U123" i="7" s="1"/>
  <c r="Q123" i="7"/>
  <c r="J124" i="7"/>
  <c r="K124" i="7" s="1"/>
  <c r="M124" i="7" s="1"/>
  <c r="S124" i="7" s="1"/>
  <c r="U124" i="7" s="1"/>
  <c r="L124" i="7"/>
  <c r="O124" i="7"/>
  <c r="P124" i="7"/>
  <c r="Q124" i="7"/>
  <c r="R124" i="7"/>
  <c r="J125" i="7"/>
  <c r="K125" i="7" s="1"/>
  <c r="M125" i="7" s="1"/>
  <c r="S125" i="7" s="1"/>
  <c r="U125" i="7" s="1"/>
  <c r="L125" i="7"/>
  <c r="O125" i="7"/>
  <c r="P125" i="7"/>
  <c r="Q125" i="7"/>
  <c r="R125" i="7"/>
  <c r="J126" i="7"/>
  <c r="K126" i="7" s="1"/>
  <c r="M126" i="7" s="1"/>
  <c r="L126" i="7"/>
  <c r="O126" i="7"/>
  <c r="P126" i="7"/>
  <c r="R126" i="7" s="1"/>
  <c r="Q126" i="7"/>
  <c r="J127" i="7"/>
  <c r="K127" i="7" s="1"/>
  <c r="M127" i="7" s="1"/>
  <c r="L127" i="7"/>
  <c r="O127" i="7"/>
  <c r="P127" i="7"/>
  <c r="R127" i="7" s="1"/>
  <c r="S127" i="7" s="1"/>
  <c r="U127" i="7" s="1"/>
  <c r="Q127" i="7"/>
  <c r="J128" i="7"/>
  <c r="K128" i="7" s="1"/>
  <c r="M128" i="7" s="1"/>
  <c r="L128" i="7"/>
  <c r="O128" i="7"/>
  <c r="P128" i="7"/>
  <c r="Q128" i="7"/>
  <c r="R128" i="7" s="1"/>
  <c r="S128" i="7" s="1"/>
  <c r="U128" i="7" s="1"/>
  <c r="J129" i="7"/>
  <c r="K129" i="7" s="1"/>
  <c r="M129" i="7" s="1"/>
  <c r="L129" i="7"/>
  <c r="O129" i="7"/>
  <c r="P129" i="7"/>
  <c r="R129" i="7" s="1"/>
  <c r="Q129" i="7"/>
  <c r="J130" i="7"/>
  <c r="K130" i="7" s="1"/>
  <c r="M130" i="7" s="1"/>
  <c r="S130" i="7" s="1"/>
  <c r="U130" i="7" s="1"/>
  <c r="L130" i="7"/>
  <c r="O130" i="7"/>
  <c r="P130" i="7"/>
  <c r="Q130" i="7"/>
  <c r="R130" i="7"/>
  <c r="J131" i="7"/>
  <c r="K131" i="7" s="1"/>
  <c r="M131" i="7" s="1"/>
  <c r="L131" i="7"/>
  <c r="O131" i="7"/>
  <c r="P131" i="7"/>
  <c r="Q131" i="7"/>
  <c r="R131" i="7" s="1"/>
  <c r="J132" i="7"/>
  <c r="K132" i="7" s="1"/>
  <c r="M132" i="7" s="1"/>
  <c r="L132" i="7"/>
  <c r="O132" i="7"/>
  <c r="P132" i="7"/>
  <c r="R132" i="7" s="1"/>
  <c r="S132" i="7" s="1"/>
  <c r="U132" i="7" s="1"/>
  <c r="Q132" i="7"/>
  <c r="J133" i="7"/>
  <c r="K133" i="7" s="1"/>
  <c r="M133" i="7" s="1"/>
  <c r="L133" i="7"/>
  <c r="O133" i="7"/>
  <c r="P133" i="7"/>
  <c r="R133" i="7" s="1"/>
  <c r="S133" i="7" s="1"/>
  <c r="U133" i="7" s="1"/>
  <c r="Q133" i="7"/>
  <c r="J134" i="7"/>
  <c r="K134" i="7" s="1"/>
  <c r="M134" i="7" s="1"/>
  <c r="S134" i="7" s="1"/>
  <c r="U134" i="7" s="1"/>
  <c r="L134" i="7"/>
  <c r="O134" i="7"/>
  <c r="P134" i="7"/>
  <c r="Q134" i="7"/>
  <c r="R134" i="7"/>
  <c r="J135" i="7"/>
  <c r="K135" i="7" s="1"/>
  <c r="M135" i="7" s="1"/>
  <c r="L135" i="7"/>
  <c r="O135" i="7"/>
  <c r="P135" i="7"/>
  <c r="R135" i="7" s="1"/>
  <c r="S135" i="7" s="1"/>
  <c r="U135" i="7" s="1"/>
  <c r="Q135" i="7"/>
  <c r="J136" i="7"/>
  <c r="K136" i="7" s="1"/>
  <c r="M136" i="7" s="1"/>
  <c r="L136" i="7"/>
  <c r="O136" i="7"/>
  <c r="P136" i="7"/>
  <c r="Q136" i="7"/>
  <c r="R136" i="7" s="1"/>
  <c r="S136" i="7" s="1"/>
  <c r="U136" i="7" s="1"/>
  <c r="J137" i="7"/>
  <c r="K137" i="7" s="1"/>
  <c r="M137" i="7" s="1"/>
  <c r="L137" i="7"/>
  <c r="O137" i="7"/>
  <c r="P137" i="7"/>
  <c r="Q137" i="7"/>
  <c r="R137" i="7" s="1"/>
  <c r="J138" i="7"/>
  <c r="K138" i="7" s="1"/>
  <c r="M138" i="7" s="1"/>
  <c r="L138" i="7"/>
  <c r="O138" i="7"/>
  <c r="P138" i="7"/>
  <c r="R138" i="7" s="1"/>
  <c r="Q138" i="7"/>
  <c r="J139" i="7"/>
  <c r="K139" i="7" s="1"/>
  <c r="M139" i="7" s="1"/>
  <c r="L139" i="7"/>
  <c r="O139" i="7"/>
  <c r="P139" i="7"/>
  <c r="R139" i="7" s="1"/>
  <c r="S139" i="7" s="1"/>
  <c r="U139" i="7" s="1"/>
  <c r="Q139" i="7"/>
  <c r="J140" i="7"/>
  <c r="K140" i="7" s="1"/>
  <c r="M140" i="7" s="1"/>
  <c r="S140" i="7" s="1"/>
  <c r="U140" i="7" s="1"/>
  <c r="L140" i="7"/>
  <c r="O140" i="7"/>
  <c r="P140" i="7"/>
  <c r="Q140" i="7"/>
  <c r="R140" i="7"/>
  <c r="J141" i="7"/>
  <c r="K141" i="7" s="1"/>
  <c r="M141" i="7" s="1"/>
  <c r="L141" i="7"/>
  <c r="O141" i="7"/>
  <c r="P141" i="7"/>
  <c r="R141" i="7" s="1"/>
  <c r="S141" i="7" s="1"/>
  <c r="U141" i="7" s="1"/>
  <c r="Q141" i="7"/>
  <c r="J142" i="7"/>
  <c r="K142" i="7" s="1"/>
  <c r="M142" i="7" s="1"/>
  <c r="L142" i="7"/>
  <c r="O142" i="7"/>
  <c r="P142" i="7"/>
  <c r="Q142" i="7"/>
  <c r="R142" i="7" s="1"/>
  <c r="S142" i="7" s="1"/>
  <c r="U142" i="7" s="1"/>
  <c r="J143" i="7"/>
  <c r="K143" i="7" s="1"/>
  <c r="M143" i="7" s="1"/>
  <c r="L143" i="7"/>
  <c r="O143" i="7"/>
  <c r="P143" i="7"/>
  <c r="Q143" i="7"/>
  <c r="R143" i="7" s="1"/>
  <c r="S143" i="7" s="1"/>
  <c r="U143" i="7" s="1"/>
  <c r="J144" i="7"/>
  <c r="K144" i="7" s="1"/>
  <c r="M144" i="7" s="1"/>
  <c r="L144" i="7"/>
  <c r="O144" i="7"/>
  <c r="P144" i="7"/>
  <c r="R144" i="7" s="1"/>
  <c r="S144" i="7" s="1"/>
  <c r="U144" i="7" s="1"/>
  <c r="Q144" i="7"/>
  <c r="J145" i="7"/>
  <c r="K145" i="7" s="1"/>
  <c r="M145" i="7" s="1"/>
  <c r="L145" i="7"/>
  <c r="O145" i="7"/>
  <c r="P145" i="7"/>
  <c r="R145" i="7" s="1"/>
  <c r="Q145" i="7"/>
  <c r="J146" i="7"/>
  <c r="K146" i="7" s="1"/>
  <c r="M146" i="7" s="1"/>
  <c r="S146" i="7" s="1"/>
  <c r="U146" i="7" s="1"/>
  <c r="L146" i="7"/>
  <c r="O146" i="7"/>
  <c r="P146" i="7"/>
  <c r="Q146" i="7"/>
  <c r="R146" i="7"/>
  <c r="J147" i="7"/>
  <c r="K147" i="7" s="1"/>
  <c r="M147" i="7" s="1"/>
  <c r="L147" i="7"/>
  <c r="O147" i="7"/>
  <c r="P147" i="7"/>
  <c r="R147" i="7" s="1"/>
  <c r="Q147" i="7"/>
  <c r="J148" i="7"/>
  <c r="K148" i="7" s="1"/>
  <c r="M148" i="7" s="1"/>
  <c r="L148" i="7"/>
  <c r="O148" i="7"/>
  <c r="P148" i="7"/>
  <c r="Q148" i="7"/>
  <c r="R148" i="7" s="1"/>
  <c r="J149" i="7"/>
  <c r="K149" i="7" s="1"/>
  <c r="M149" i="7" s="1"/>
  <c r="S149" i="7" s="1"/>
  <c r="U149" i="7" s="1"/>
  <c r="L149" i="7"/>
  <c r="O149" i="7"/>
  <c r="P149" i="7"/>
  <c r="Q149" i="7"/>
  <c r="R149" i="7"/>
  <c r="J150" i="7"/>
  <c r="K150" i="7" s="1"/>
  <c r="M150" i="7" s="1"/>
  <c r="L150" i="7"/>
  <c r="O150" i="7"/>
  <c r="P150" i="7"/>
  <c r="R150" i="7" s="1"/>
  <c r="S150" i="7" s="1"/>
  <c r="U150" i="7" s="1"/>
  <c r="Q150" i="7"/>
  <c r="J151" i="7"/>
  <c r="K151" i="7" s="1"/>
  <c r="M151" i="7" s="1"/>
  <c r="L151" i="7"/>
  <c r="O151" i="7"/>
  <c r="P151" i="7"/>
  <c r="R151" i="7" s="1"/>
  <c r="S151" i="7" s="1"/>
  <c r="U151" i="7" s="1"/>
  <c r="Q151" i="7"/>
  <c r="J152" i="7"/>
  <c r="K152" i="7" s="1"/>
  <c r="M152" i="7" s="1"/>
  <c r="S152" i="7" s="1"/>
  <c r="U152" i="7" s="1"/>
  <c r="L152" i="7"/>
  <c r="O152" i="7"/>
  <c r="P152" i="7"/>
  <c r="Q152" i="7"/>
  <c r="R152" i="7"/>
  <c r="J153" i="7"/>
  <c r="K153" i="7" s="1"/>
  <c r="M153" i="7" s="1"/>
  <c r="L153" i="7"/>
  <c r="O153" i="7"/>
  <c r="P153" i="7"/>
  <c r="R153" i="7" s="1"/>
  <c r="S153" i="7" s="1"/>
  <c r="U153" i="7" s="1"/>
  <c r="Q153" i="7"/>
  <c r="J154" i="7"/>
  <c r="K154" i="7" s="1"/>
  <c r="M154" i="7" s="1"/>
  <c r="S154" i="7" s="1"/>
  <c r="U154" i="7" s="1"/>
  <c r="L154" i="7"/>
  <c r="O154" i="7"/>
  <c r="P154" i="7"/>
  <c r="Q154" i="7"/>
  <c r="R154" i="7"/>
  <c r="J155" i="7"/>
  <c r="K155" i="7" s="1"/>
  <c r="M155" i="7" s="1"/>
  <c r="L155" i="7"/>
  <c r="O155" i="7"/>
  <c r="P155" i="7"/>
  <c r="Q155" i="7"/>
  <c r="R155" i="7" s="1"/>
  <c r="S155" i="7" s="1"/>
  <c r="U155" i="7" s="1"/>
  <c r="J156" i="7"/>
  <c r="K156" i="7" s="1"/>
  <c r="M156" i="7" s="1"/>
  <c r="L156" i="7"/>
  <c r="O156" i="7"/>
  <c r="P156" i="7"/>
  <c r="R156" i="7" s="1"/>
  <c r="Q156" i="7"/>
  <c r="J157" i="7"/>
  <c r="K157" i="7" s="1"/>
  <c r="M157" i="7" s="1"/>
  <c r="L157" i="7"/>
  <c r="O157" i="7"/>
  <c r="P157" i="7"/>
  <c r="R157" i="7" s="1"/>
  <c r="S157" i="7" s="1"/>
  <c r="U157" i="7" s="1"/>
  <c r="Q157" i="7"/>
  <c r="J158" i="7"/>
  <c r="K158" i="7" s="1"/>
  <c r="M158" i="7" s="1"/>
  <c r="S158" i="7" s="1"/>
  <c r="U158" i="7" s="1"/>
  <c r="L158" i="7"/>
  <c r="O158" i="7"/>
  <c r="P158" i="7"/>
  <c r="Q158" i="7"/>
  <c r="R158" i="7"/>
  <c r="J159" i="7"/>
  <c r="K159" i="7" s="1"/>
  <c r="M159" i="7" s="1"/>
  <c r="L159" i="7"/>
  <c r="O159" i="7"/>
  <c r="P159" i="7"/>
  <c r="R159" i="7" s="1"/>
  <c r="S159" i="7" s="1"/>
  <c r="U159" i="7" s="1"/>
  <c r="Q159" i="7"/>
  <c r="J160" i="7"/>
  <c r="K160" i="7" s="1"/>
  <c r="M160" i="7" s="1"/>
  <c r="L160" i="7"/>
  <c r="O160" i="7"/>
  <c r="P160" i="7"/>
  <c r="Q160" i="7"/>
  <c r="R160" i="7" s="1"/>
  <c r="S160" i="7" s="1"/>
  <c r="U160" i="7" s="1"/>
  <c r="J161" i="7"/>
  <c r="K161" i="7" s="1"/>
  <c r="M161" i="7" s="1"/>
  <c r="L161" i="7"/>
  <c r="O161" i="7"/>
  <c r="P161" i="7"/>
  <c r="Q161" i="7"/>
  <c r="R161" i="7" s="1"/>
  <c r="J162" i="7"/>
  <c r="K162" i="7" s="1"/>
  <c r="M162" i="7" s="1"/>
  <c r="L162" i="7"/>
  <c r="O162" i="7"/>
  <c r="P162" i="7"/>
  <c r="R162" i="7" s="1"/>
  <c r="Q162" i="7"/>
  <c r="J163" i="7"/>
  <c r="K163" i="7" s="1"/>
  <c r="M163" i="7" s="1"/>
  <c r="L163" i="7"/>
  <c r="O163" i="7"/>
  <c r="P163" i="7"/>
  <c r="R163" i="7" s="1"/>
  <c r="Q163" i="7"/>
  <c r="J164" i="7"/>
  <c r="K164" i="7" s="1"/>
  <c r="M164" i="7" s="1"/>
  <c r="S164" i="7" s="1"/>
  <c r="U164" i="7" s="1"/>
  <c r="L164" i="7"/>
  <c r="O164" i="7"/>
  <c r="P164" i="7"/>
  <c r="Q164" i="7"/>
  <c r="R164" i="7"/>
  <c r="J165" i="7"/>
  <c r="K165" i="7" s="1"/>
  <c r="M165" i="7" s="1"/>
  <c r="L165" i="7"/>
  <c r="O165" i="7"/>
  <c r="P165" i="7"/>
  <c r="R165" i="7" s="1"/>
  <c r="Q165" i="7"/>
  <c r="J166" i="7"/>
  <c r="K166" i="7" s="1"/>
  <c r="M166" i="7" s="1"/>
  <c r="S166" i="7" s="1"/>
  <c r="U166" i="7" s="1"/>
  <c r="L166" i="7"/>
  <c r="O166" i="7"/>
  <c r="P166" i="7"/>
  <c r="Q166" i="7"/>
  <c r="R166" i="7"/>
  <c r="J167" i="7"/>
  <c r="K167" i="7" s="1"/>
  <c r="M167" i="7" s="1"/>
  <c r="L167" i="7"/>
  <c r="O167" i="7"/>
  <c r="P167" i="7"/>
  <c r="Q167" i="7"/>
  <c r="R167" i="7" s="1"/>
  <c r="S167" i="7" s="1"/>
  <c r="U167" i="7" s="1"/>
  <c r="J168" i="7"/>
  <c r="K168" i="7" s="1"/>
  <c r="M168" i="7" s="1"/>
  <c r="L168" i="7"/>
  <c r="O168" i="7"/>
  <c r="P168" i="7"/>
  <c r="R168" i="7" s="1"/>
  <c r="S168" i="7" s="1"/>
  <c r="U168" i="7" s="1"/>
  <c r="Q168" i="7"/>
  <c r="J169" i="7"/>
  <c r="K169" i="7" s="1"/>
  <c r="M169" i="7" s="1"/>
  <c r="L169" i="7"/>
  <c r="O169" i="7"/>
  <c r="P169" i="7"/>
  <c r="R169" i="7" s="1"/>
  <c r="S169" i="7" s="1"/>
  <c r="U169" i="7" s="1"/>
  <c r="Q169" i="7"/>
  <c r="J170" i="7"/>
  <c r="K170" i="7" s="1"/>
  <c r="M170" i="7" s="1"/>
  <c r="S170" i="7" s="1"/>
  <c r="U170" i="7" s="1"/>
  <c r="L170" i="7"/>
  <c r="O170" i="7"/>
  <c r="P170" i="7"/>
  <c r="Q170" i="7"/>
  <c r="R170" i="7"/>
  <c r="J171" i="7"/>
  <c r="K171" i="7" s="1"/>
  <c r="M171" i="7" s="1"/>
  <c r="L171" i="7"/>
  <c r="O171" i="7"/>
  <c r="P171" i="7"/>
  <c r="R171" i="7" s="1"/>
  <c r="Q171" i="7"/>
  <c r="J172" i="7"/>
  <c r="K172" i="7" s="1"/>
  <c r="M172" i="7" s="1"/>
  <c r="S172" i="7" s="1"/>
  <c r="U172" i="7" s="1"/>
  <c r="L172" i="7"/>
  <c r="O172" i="7"/>
  <c r="P172" i="7"/>
  <c r="Q172" i="7"/>
  <c r="R172" i="7"/>
  <c r="J173" i="7"/>
  <c r="K173" i="7" s="1"/>
  <c r="M173" i="7" s="1"/>
  <c r="L173" i="7"/>
  <c r="O173" i="7"/>
  <c r="P173" i="7"/>
  <c r="Q173" i="7"/>
  <c r="R173" i="7" s="1"/>
  <c r="S173" i="7" s="1"/>
  <c r="U173" i="7" s="1"/>
  <c r="J174" i="7"/>
  <c r="K174" i="7" s="1"/>
  <c r="M174" i="7" s="1"/>
  <c r="L174" i="7"/>
  <c r="O174" i="7"/>
  <c r="P174" i="7"/>
  <c r="R174" i="7" s="1"/>
  <c r="Q174" i="7"/>
  <c r="J175" i="7"/>
  <c r="K175" i="7" s="1"/>
  <c r="M175" i="7" s="1"/>
  <c r="L175" i="7"/>
  <c r="O175" i="7"/>
  <c r="P175" i="7"/>
  <c r="R175" i="7" s="1"/>
  <c r="S175" i="7" s="1"/>
  <c r="U175" i="7" s="1"/>
  <c r="Q175" i="7"/>
  <c r="J176" i="7"/>
  <c r="K176" i="7" s="1"/>
  <c r="M176" i="7" s="1"/>
  <c r="L176" i="7"/>
  <c r="O176" i="7"/>
  <c r="P176" i="7"/>
  <c r="Q176" i="7"/>
  <c r="R176" i="7" s="1"/>
  <c r="S176" i="7" s="1"/>
  <c r="U176" i="7" s="1"/>
  <c r="J177" i="7"/>
  <c r="K177" i="7" s="1"/>
  <c r="M177" i="7" s="1"/>
  <c r="L177" i="7"/>
  <c r="O177" i="7"/>
  <c r="P177" i="7"/>
  <c r="R177" i="7" s="1"/>
  <c r="Q177" i="7"/>
  <c r="J178" i="7"/>
  <c r="K178" i="7" s="1"/>
  <c r="M178" i="7" s="1"/>
  <c r="S178" i="7" s="1"/>
  <c r="U178" i="7" s="1"/>
  <c r="L178" i="7"/>
  <c r="O178" i="7"/>
  <c r="P178" i="7"/>
  <c r="Q178" i="7"/>
  <c r="R178" i="7"/>
  <c r="J179" i="7"/>
  <c r="K179" i="7" s="1"/>
  <c r="M179" i="7" s="1"/>
  <c r="S179" i="7" s="1"/>
  <c r="U179" i="7" s="1"/>
  <c r="L179" i="7"/>
  <c r="O179" i="7"/>
  <c r="P179" i="7"/>
  <c r="Q179" i="7"/>
  <c r="R179" i="7"/>
  <c r="J180" i="7"/>
  <c r="K180" i="7" s="1"/>
  <c r="M180" i="7" s="1"/>
  <c r="L180" i="7"/>
  <c r="O180" i="7"/>
  <c r="P180" i="7"/>
  <c r="R180" i="7" s="1"/>
  <c r="Q180" i="7"/>
  <c r="J181" i="7"/>
  <c r="K181" i="7" s="1"/>
  <c r="M181" i="7" s="1"/>
  <c r="L181" i="7"/>
  <c r="O181" i="7"/>
  <c r="P181" i="7"/>
  <c r="R181" i="7" s="1"/>
  <c r="Q181" i="7"/>
  <c r="J182" i="7"/>
  <c r="K182" i="7" s="1"/>
  <c r="M182" i="7" s="1"/>
  <c r="L182" i="7"/>
  <c r="O182" i="7"/>
  <c r="P182" i="7"/>
  <c r="Q182" i="7"/>
  <c r="R182" i="7" s="1"/>
  <c r="S182" i="7" s="1"/>
  <c r="U182" i="7" s="1"/>
  <c r="J183" i="7"/>
  <c r="K183" i="7" s="1"/>
  <c r="M183" i="7" s="1"/>
  <c r="L183" i="7"/>
  <c r="O183" i="7"/>
  <c r="P183" i="7"/>
  <c r="R183" i="7" s="1"/>
  <c r="S183" i="7" s="1"/>
  <c r="U183" i="7" s="1"/>
  <c r="Q183" i="7"/>
  <c r="J184" i="7"/>
  <c r="K184" i="7" s="1"/>
  <c r="M184" i="7" s="1"/>
  <c r="S184" i="7" s="1"/>
  <c r="U184" i="7" s="1"/>
  <c r="L184" i="7"/>
  <c r="O184" i="7"/>
  <c r="P184" i="7"/>
  <c r="Q184" i="7"/>
  <c r="R184" i="7"/>
  <c r="S174" i="7" l="1"/>
  <c r="U174" i="7" s="1"/>
  <c r="S165" i="7"/>
  <c r="U165" i="7" s="1"/>
  <c r="S126" i="7"/>
  <c r="U126" i="7" s="1"/>
  <c r="S117" i="7"/>
  <c r="U117" i="7" s="1"/>
  <c r="S137" i="7"/>
  <c r="U137" i="7" s="1"/>
  <c r="S180" i="7"/>
  <c r="U180" i="7" s="1"/>
  <c r="S171" i="7"/>
  <c r="U171" i="7" s="1"/>
  <c r="S162" i="7"/>
  <c r="U162" i="7" s="1"/>
  <c r="S121" i="7"/>
  <c r="U121" i="7" s="1"/>
  <c r="S114" i="7"/>
  <c r="U114" i="7" s="1"/>
  <c r="S148" i="7"/>
  <c r="U148" i="7" s="1"/>
  <c r="S105" i="7"/>
  <c r="U105" i="7" s="1"/>
  <c r="S161" i="7"/>
  <c r="U161" i="7" s="1"/>
  <c r="S131" i="7"/>
  <c r="U131" i="7" s="1"/>
  <c r="S129" i="7"/>
  <c r="U129" i="7" s="1"/>
  <c r="S120" i="7"/>
  <c r="U120" i="7" s="1"/>
  <c r="S111" i="7"/>
  <c r="U111" i="7" s="1"/>
  <c r="S104" i="7"/>
  <c r="U104" i="7" s="1"/>
  <c r="S177" i="7"/>
  <c r="U177" i="7" s="1"/>
  <c r="S145" i="7"/>
  <c r="U145" i="7" s="1"/>
  <c r="S138" i="7"/>
  <c r="U138" i="7" s="1"/>
  <c r="S181" i="7"/>
  <c r="U181" i="7" s="1"/>
  <c r="S163" i="7"/>
  <c r="U163" i="7" s="1"/>
  <c r="S156" i="7"/>
  <c r="U156" i="7" s="1"/>
  <c r="S147" i="7"/>
  <c r="U147" i="7" s="1"/>
  <c r="S115" i="7"/>
  <c r="U115" i="7" s="1"/>
  <c r="J65" i="7" l="1"/>
  <c r="K65" i="7" s="1"/>
  <c r="M65" i="7" s="1"/>
  <c r="L65" i="7"/>
  <c r="O65" i="7"/>
  <c r="P65" i="7"/>
  <c r="R65" i="7" s="1"/>
  <c r="Q65" i="7"/>
  <c r="J66" i="7"/>
  <c r="K66" i="7" s="1"/>
  <c r="M66" i="7" s="1"/>
  <c r="S66" i="7" s="1"/>
  <c r="U66" i="7" s="1"/>
  <c r="L66" i="7"/>
  <c r="O66" i="7"/>
  <c r="P66" i="7"/>
  <c r="Q66" i="7"/>
  <c r="R66" i="7"/>
  <c r="J67" i="7"/>
  <c r="K67" i="7"/>
  <c r="M67" i="7" s="1"/>
  <c r="L67" i="7"/>
  <c r="O67" i="7"/>
  <c r="P67" i="7"/>
  <c r="R67" i="7" s="1"/>
  <c r="Q67" i="7"/>
  <c r="J68" i="7"/>
  <c r="K68" i="7" s="1"/>
  <c r="M68" i="7" s="1"/>
  <c r="L68" i="7"/>
  <c r="O68" i="7"/>
  <c r="P68" i="7"/>
  <c r="Q68" i="7"/>
  <c r="J69" i="7"/>
  <c r="K69" i="7" s="1"/>
  <c r="M69" i="7" s="1"/>
  <c r="L69" i="7"/>
  <c r="O69" i="7"/>
  <c r="P69" i="7"/>
  <c r="R69" i="7" s="1"/>
  <c r="Q69" i="7"/>
  <c r="J70" i="7"/>
  <c r="K70" i="7" s="1"/>
  <c r="L70" i="7"/>
  <c r="O70" i="7"/>
  <c r="P70" i="7"/>
  <c r="R70" i="7" s="1"/>
  <c r="Q70" i="7"/>
  <c r="J71" i="7"/>
  <c r="K71" i="7" s="1"/>
  <c r="M71" i="7" s="1"/>
  <c r="L71" i="7"/>
  <c r="O71" i="7"/>
  <c r="P71" i="7"/>
  <c r="R71" i="7" s="1"/>
  <c r="Q71" i="7"/>
  <c r="J72" i="7"/>
  <c r="K72" i="7" s="1"/>
  <c r="M72" i="7" s="1"/>
  <c r="L72" i="7"/>
  <c r="O72" i="7"/>
  <c r="P72" i="7"/>
  <c r="R72" i="7" s="1"/>
  <c r="Q72" i="7"/>
  <c r="J73" i="7"/>
  <c r="K73" i="7"/>
  <c r="L73" i="7"/>
  <c r="O73" i="7"/>
  <c r="P73" i="7"/>
  <c r="R73" i="7" s="1"/>
  <c r="Q73" i="7"/>
  <c r="J74" i="7"/>
  <c r="K74" i="7" s="1"/>
  <c r="M74" i="7" s="1"/>
  <c r="L74" i="7"/>
  <c r="O74" i="7"/>
  <c r="P74" i="7"/>
  <c r="R74" i="7" s="1"/>
  <c r="S74" i="7" s="1"/>
  <c r="U74" i="7" s="1"/>
  <c r="Q74" i="7"/>
  <c r="J75" i="7"/>
  <c r="K75" i="7" s="1"/>
  <c r="M75" i="7" s="1"/>
  <c r="L75" i="7"/>
  <c r="O75" i="7"/>
  <c r="P75" i="7"/>
  <c r="R75" i="7" s="1"/>
  <c r="S75" i="7" s="1"/>
  <c r="U75" i="7" s="1"/>
  <c r="Q75" i="7"/>
  <c r="J76" i="7"/>
  <c r="K76" i="7" s="1"/>
  <c r="M76" i="7" s="1"/>
  <c r="L76" i="7"/>
  <c r="O76" i="7"/>
  <c r="P76" i="7"/>
  <c r="Q76" i="7"/>
  <c r="R76" i="7"/>
  <c r="J77" i="7"/>
  <c r="K77" i="7" s="1"/>
  <c r="M77" i="7" s="1"/>
  <c r="L77" i="7"/>
  <c r="O77" i="7"/>
  <c r="P77" i="7"/>
  <c r="R77" i="7" s="1"/>
  <c r="Q77" i="7"/>
  <c r="J78" i="7"/>
  <c r="K78" i="7" s="1"/>
  <c r="M78" i="7" s="1"/>
  <c r="L78" i="7"/>
  <c r="O78" i="7"/>
  <c r="P78" i="7"/>
  <c r="Q78" i="7"/>
  <c r="R78" i="7"/>
  <c r="J79" i="7"/>
  <c r="K79" i="7" s="1"/>
  <c r="M79" i="7" s="1"/>
  <c r="L79" i="7"/>
  <c r="O79" i="7"/>
  <c r="P79" i="7"/>
  <c r="R79" i="7" s="1"/>
  <c r="Q79" i="7"/>
  <c r="J80" i="7"/>
  <c r="K80" i="7" s="1"/>
  <c r="M80" i="7" s="1"/>
  <c r="L80" i="7"/>
  <c r="O80" i="7"/>
  <c r="P80" i="7"/>
  <c r="R80" i="7" s="1"/>
  <c r="Q80" i="7"/>
  <c r="J81" i="7"/>
  <c r="K81" i="7" s="1"/>
  <c r="M81" i="7" s="1"/>
  <c r="L81" i="7"/>
  <c r="O81" i="7"/>
  <c r="P81" i="7"/>
  <c r="R81" i="7" s="1"/>
  <c r="S81" i="7" s="1"/>
  <c r="U81" i="7" s="1"/>
  <c r="Q81" i="7"/>
  <c r="J82" i="7"/>
  <c r="K82" i="7" s="1"/>
  <c r="L82" i="7"/>
  <c r="O82" i="7"/>
  <c r="P82" i="7"/>
  <c r="Q82" i="7"/>
  <c r="R82" i="7"/>
  <c r="J83" i="7"/>
  <c r="K83" i="7" s="1"/>
  <c r="L83" i="7"/>
  <c r="O83" i="7"/>
  <c r="P83" i="7"/>
  <c r="Q83" i="7"/>
  <c r="J84" i="7"/>
  <c r="K84" i="7" s="1"/>
  <c r="M84" i="7" s="1"/>
  <c r="L84" i="7"/>
  <c r="O84" i="7"/>
  <c r="P84" i="7"/>
  <c r="R84" i="7" s="1"/>
  <c r="Q84" i="7"/>
  <c r="J85" i="7"/>
  <c r="K85" i="7" s="1"/>
  <c r="M85" i="7" s="1"/>
  <c r="L85" i="7"/>
  <c r="O85" i="7"/>
  <c r="P85" i="7"/>
  <c r="Q85" i="7"/>
  <c r="J86" i="7"/>
  <c r="K86" i="7" s="1"/>
  <c r="M86" i="7" s="1"/>
  <c r="L86" i="7"/>
  <c r="O86" i="7"/>
  <c r="P86" i="7"/>
  <c r="R86" i="7" s="1"/>
  <c r="Q86" i="7"/>
  <c r="J87" i="7"/>
  <c r="K87" i="7" s="1"/>
  <c r="L87" i="7"/>
  <c r="O87" i="7"/>
  <c r="P87" i="7"/>
  <c r="Q87" i="7"/>
  <c r="J88" i="7"/>
  <c r="K88" i="7" s="1"/>
  <c r="L88" i="7"/>
  <c r="O88" i="7"/>
  <c r="P88" i="7"/>
  <c r="R88" i="7" s="1"/>
  <c r="Q88" i="7"/>
  <c r="J89" i="7"/>
  <c r="K89" i="7" s="1"/>
  <c r="M89" i="7" s="1"/>
  <c r="L89" i="7"/>
  <c r="O89" i="7"/>
  <c r="P89" i="7"/>
  <c r="R89" i="7" s="1"/>
  <c r="Q89" i="7"/>
  <c r="J90" i="7"/>
  <c r="K90" i="7" s="1"/>
  <c r="M90" i="7" s="1"/>
  <c r="L90" i="7"/>
  <c r="O90" i="7"/>
  <c r="P90" i="7"/>
  <c r="Q90" i="7"/>
  <c r="R90" i="7"/>
  <c r="J91" i="7"/>
  <c r="K91" i="7"/>
  <c r="M91" i="7" s="1"/>
  <c r="L91" i="7"/>
  <c r="O91" i="7"/>
  <c r="P91" i="7"/>
  <c r="Q91" i="7"/>
  <c r="J92" i="7"/>
  <c r="K92" i="7" s="1"/>
  <c r="M92" i="7" s="1"/>
  <c r="L92" i="7"/>
  <c r="O92" i="7"/>
  <c r="P92" i="7"/>
  <c r="R92" i="7" s="1"/>
  <c r="Q92" i="7"/>
  <c r="J93" i="7"/>
  <c r="K93" i="7" s="1"/>
  <c r="M93" i="7" s="1"/>
  <c r="L93" i="7"/>
  <c r="O93" i="7"/>
  <c r="P93" i="7"/>
  <c r="R93" i="7" s="1"/>
  <c r="Q93" i="7"/>
  <c r="J94" i="7"/>
  <c r="K94" i="7" s="1"/>
  <c r="M94" i="7" s="1"/>
  <c r="L94" i="7"/>
  <c r="O94" i="7"/>
  <c r="P94" i="7"/>
  <c r="Q94" i="7"/>
  <c r="R94" i="7"/>
  <c r="J95" i="7"/>
  <c r="K95" i="7" s="1"/>
  <c r="L95" i="7"/>
  <c r="O95" i="7"/>
  <c r="P95" i="7"/>
  <c r="R95" i="7" s="1"/>
  <c r="Q95" i="7"/>
  <c r="J96" i="7"/>
  <c r="K96" i="7" s="1"/>
  <c r="M96" i="7" s="1"/>
  <c r="L96" i="7"/>
  <c r="O96" i="7"/>
  <c r="P96" i="7"/>
  <c r="Q96" i="7"/>
  <c r="R96" i="7"/>
  <c r="J97" i="7"/>
  <c r="K97" i="7" s="1"/>
  <c r="M97" i="7" s="1"/>
  <c r="L97" i="7"/>
  <c r="O97" i="7"/>
  <c r="P97" i="7"/>
  <c r="R97" i="7" s="1"/>
  <c r="Q97" i="7"/>
  <c r="J98" i="7"/>
  <c r="K98" i="7" s="1"/>
  <c r="M98" i="7" s="1"/>
  <c r="L98" i="7"/>
  <c r="O98" i="7"/>
  <c r="P98" i="7"/>
  <c r="R98" i="7" s="1"/>
  <c r="S98" i="7" s="1"/>
  <c r="U98" i="7" s="1"/>
  <c r="Q98" i="7"/>
  <c r="J99" i="7"/>
  <c r="K99" i="7" s="1"/>
  <c r="M99" i="7" s="1"/>
  <c r="L99" i="7"/>
  <c r="O99" i="7"/>
  <c r="P99" i="7"/>
  <c r="R99" i="7" s="1"/>
  <c r="S99" i="7" s="1"/>
  <c r="U99" i="7" s="1"/>
  <c r="Q99" i="7"/>
  <c r="J100" i="7"/>
  <c r="K100" i="7" s="1"/>
  <c r="M100" i="7" s="1"/>
  <c r="L100" i="7"/>
  <c r="O100" i="7"/>
  <c r="P100" i="7"/>
  <c r="Q100" i="7"/>
  <c r="R100" i="7"/>
  <c r="J101" i="7"/>
  <c r="K101" i="7" s="1"/>
  <c r="L101" i="7"/>
  <c r="O101" i="7"/>
  <c r="P101" i="7"/>
  <c r="Q101" i="7"/>
  <c r="R101" i="7" l="1"/>
  <c r="M95" i="7"/>
  <c r="M82" i="7"/>
  <c r="S82" i="7" s="1"/>
  <c r="U82" i="7" s="1"/>
  <c r="S79" i="7"/>
  <c r="U79" i="7" s="1"/>
  <c r="S77" i="7"/>
  <c r="U77" i="7" s="1"/>
  <c r="M73" i="7"/>
  <c r="S73" i="7" s="1"/>
  <c r="U73" i="7" s="1"/>
  <c r="S84" i="7"/>
  <c r="U84" i="7" s="1"/>
  <c r="R68" i="7"/>
  <c r="S68" i="7" s="1"/>
  <c r="U68" i="7" s="1"/>
  <c r="M101" i="7"/>
  <c r="M88" i="7"/>
  <c r="S88" i="7" s="1"/>
  <c r="U88" i="7" s="1"/>
  <c r="R85" i="7"/>
  <c r="R83" i="7"/>
  <c r="S94" i="7"/>
  <c r="U94" i="7" s="1"/>
  <c r="R91" i="7"/>
  <c r="S91" i="7" s="1"/>
  <c r="U91" i="7" s="1"/>
  <c r="S89" i="7"/>
  <c r="U89" i="7" s="1"/>
  <c r="M83" i="7"/>
  <c r="M70" i="7"/>
  <c r="S70" i="7" s="1"/>
  <c r="U70" i="7" s="1"/>
  <c r="S67" i="7"/>
  <c r="U67" i="7" s="1"/>
  <c r="S65" i="7"/>
  <c r="U65" i="7" s="1"/>
  <c r="S90" i="7"/>
  <c r="U90" i="7" s="1"/>
  <c r="S72" i="7"/>
  <c r="U72" i="7" s="1"/>
  <c r="R87" i="7"/>
  <c r="S96" i="7"/>
  <c r="U96" i="7" s="1"/>
  <c r="M87" i="7"/>
  <c r="S76" i="7"/>
  <c r="U76" i="7" s="1"/>
  <c r="S100" i="7"/>
  <c r="U100" i="7" s="1"/>
  <c r="S86" i="7"/>
  <c r="U86" i="7" s="1"/>
  <c r="S78" i="7"/>
  <c r="U78" i="7" s="1"/>
  <c r="S92" i="7"/>
  <c r="U92" i="7" s="1"/>
  <c r="S85" i="7"/>
  <c r="U85" i="7" s="1"/>
  <c r="S83" i="7"/>
  <c r="U83" i="7" s="1"/>
  <c r="S80" i="7"/>
  <c r="U80" i="7" s="1"/>
  <c r="S93" i="7"/>
  <c r="U93" i="7" s="1"/>
  <c r="S69" i="7"/>
  <c r="U69" i="7" s="1"/>
  <c r="S97" i="7"/>
  <c r="U97" i="7" s="1"/>
  <c r="S95" i="7"/>
  <c r="U95" i="7" s="1"/>
  <c r="S71" i="7"/>
  <c r="U71" i="7" s="1"/>
  <c r="S87" i="7" l="1"/>
  <c r="U87" i="7" s="1"/>
  <c r="S101" i="7"/>
  <c r="U101" i="7" s="1"/>
  <c r="Q64" i="7" l="1"/>
  <c r="R64" i="7" s="1"/>
  <c r="P64" i="7"/>
  <c r="O64" i="7"/>
  <c r="L64" i="7"/>
  <c r="J64" i="7"/>
  <c r="K64" i="7" s="1"/>
  <c r="Q63" i="7"/>
  <c r="P63" i="7"/>
  <c r="O63" i="7"/>
  <c r="L63" i="7"/>
  <c r="J63" i="7"/>
  <c r="K63" i="7" s="1"/>
  <c r="M63" i="7" s="1"/>
  <c r="Q62" i="7"/>
  <c r="P62" i="7"/>
  <c r="R62" i="7" s="1"/>
  <c r="O62" i="7"/>
  <c r="L62" i="7"/>
  <c r="J62" i="7"/>
  <c r="K62" i="7" s="1"/>
  <c r="M62" i="7" s="1"/>
  <c r="Q61" i="7"/>
  <c r="P61" i="7"/>
  <c r="R61" i="7" s="1"/>
  <c r="O61" i="7"/>
  <c r="L61" i="7"/>
  <c r="J61" i="7"/>
  <c r="K61" i="7" s="1"/>
  <c r="M61" i="7" s="1"/>
  <c r="Q60" i="7"/>
  <c r="P60" i="7"/>
  <c r="R60" i="7" s="1"/>
  <c r="O60" i="7"/>
  <c r="L60" i="7"/>
  <c r="J60" i="7"/>
  <c r="K60" i="7" s="1"/>
  <c r="M60" i="7" s="1"/>
  <c r="Q59" i="7"/>
  <c r="P59" i="7"/>
  <c r="R59" i="7" s="1"/>
  <c r="O59" i="7"/>
  <c r="L59" i="7"/>
  <c r="J59" i="7"/>
  <c r="K59" i="7" s="1"/>
  <c r="M59" i="7" s="1"/>
  <c r="S59" i="7" s="1"/>
  <c r="U59" i="7" s="1"/>
  <c r="Q58" i="7"/>
  <c r="P58" i="7"/>
  <c r="O58" i="7"/>
  <c r="L58" i="7"/>
  <c r="J58" i="7"/>
  <c r="K58" i="7" s="1"/>
  <c r="Q57" i="7"/>
  <c r="P57" i="7"/>
  <c r="R57" i="7" s="1"/>
  <c r="O57" i="7"/>
  <c r="L57" i="7"/>
  <c r="J57" i="7"/>
  <c r="K57" i="7" s="1"/>
  <c r="Q56" i="7"/>
  <c r="P56" i="7"/>
  <c r="R56" i="7" s="1"/>
  <c r="O56" i="7"/>
  <c r="L56" i="7"/>
  <c r="J56" i="7"/>
  <c r="K56" i="7" s="1"/>
  <c r="M56" i="7" s="1"/>
  <c r="Q55" i="7"/>
  <c r="P55" i="7"/>
  <c r="O55" i="7"/>
  <c r="L55" i="7"/>
  <c r="J55" i="7"/>
  <c r="K55" i="7" s="1"/>
  <c r="Q54" i="7"/>
  <c r="P54" i="7"/>
  <c r="O54" i="7"/>
  <c r="L54" i="7"/>
  <c r="J54" i="7"/>
  <c r="K54" i="7" s="1"/>
  <c r="M54" i="7" s="1"/>
  <c r="Q53" i="7"/>
  <c r="P53" i="7"/>
  <c r="R53" i="7" s="1"/>
  <c r="O53" i="7"/>
  <c r="L53" i="7"/>
  <c r="J53" i="7"/>
  <c r="K53" i="7" s="1"/>
  <c r="M53" i="7" s="1"/>
  <c r="Q52" i="7"/>
  <c r="P52" i="7"/>
  <c r="O52" i="7"/>
  <c r="L52" i="7"/>
  <c r="J52" i="7"/>
  <c r="K52" i="7" s="1"/>
  <c r="M52" i="7" s="1"/>
  <c r="Q51" i="7"/>
  <c r="P51" i="7"/>
  <c r="R51" i="7" s="1"/>
  <c r="O51" i="7"/>
  <c r="L51" i="7"/>
  <c r="J51" i="7"/>
  <c r="K51" i="7" s="1"/>
  <c r="M51" i="7" s="1"/>
  <c r="Q50" i="7"/>
  <c r="P50" i="7"/>
  <c r="O50" i="7"/>
  <c r="L50" i="7"/>
  <c r="J50" i="7"/>
  <c r="K50" i="7" s="1"/>
  <c r="Q49" i="7"/>
  <c r="P49" i="7"/>
  <c r="O49" i="7"/>
  <c r="L49" i="7"/>
  <c r="J49" i="7"/>
  <c r="K49" i="7" s="1"/>
  <c r="Q48" i="7"/>
  <c r="P48" i="7"/>
  <c r="R48" i="7" s="1"/>
  <c r="O48" i="7"/>
  <c r="L48" i="7"/>
  <c r="J48" i="7"/>
  <c r="K48" i="7" s="1"/>
  <c r="M48" i="7" s="1"/>
  <c r="Q47" i="7"/>
  <c r="P47" i="7"/>
  <c r="R47" i="7" s="1"/>
  <c r="O47" i="7"/>
  <c r="L47" i="7"/>
  <c r="J47" i="7"/>
  <c r="K47" i="7" s="1"/>
  <c r="M47" i="7" s="1"/>
  <c r="S47" i="7" s="1"/>
  <c r="U47" i="7" s="1"/>
  <c r="Q46" i="7"/>
  <c r="R46" i="7" s="1"/>
  <c r="P46" i="7"/>
  <c r="O46" i="7"/>
  <c r="L46" i="7"/>
  <c r="J46" i="7"/>
  <c r="K46" i="7" s="1"/>
  <c r="Q45" i="7"/>
  <c r="P45" i="7"/>
  <c r="R45" i="7" s="1"/>
  <c r="O45" i="7"/>
  <c r="L45" i="7"/>
  <c r="J45" i="7"/>
  <c r="K45" i="7" s="1"/>
  <c r="Q44" i="7"/>
  <c r="P44" i="7"/>
  <c r="R44" i="7" s="1"/>
  <c r="O44" i="7"/>
  <c r="L44" i="7"/>
  <c r="J44" i="7"/>
  <c r="K44" i="7" s="1"/>
  <c r="M44" i="7" s="1"/>
  <c r="Q43" i="7"/>
  <c r="P43" i="7"/>
  <c r="R43" i="7" s="1"/>
  <c r="O43" i="7"/>
  <c r="L43" i="7"/>
  <c r="J43" i="7"/>
  <c r="K43" i="7" s="1"/>
  <c r="M43" i="7" s="1"/>
  <c r="Q42" i="7"/>
  <c r="P42" i="7"/>
  <c r="O42" i="7"/>
  <c r="L42" i="7"/>
  <c r="J42" i="7"/>
  <c r="K42" i="7" s="1"/>
  <c r="Q41" i="7"/>
  <c r="P41" i="7"/>
  <c r="O41" i="7"/>
  <c r="L41" i="7"/>
  <c r="J41" i="7"/>
  <c r="K41" i="7" s="1"/>
  <c r="M41" i="7" s="1"/>
  <c r="Q40" i="7"/>
  <c r="P40" i="7"/>
  <c r="R40" i="7" s="1"/>
  <c r="O40" i="7"/>
  <c r="L40" i="7"/>
  <c r="J40" i="7"/>
  <c r="K40" i="7" s="1"/>
  <c r="M40" i="7" s="1"/>
  <c r="O39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Q39" i="7"/>
  <c r="P6" i="7"/>
  <c r="J39" i="7"/>
  <c r="K39" i="7" s="1"/>
  <c r="J6" i="7"/>
  <c r="K6" i="7" s="1"/>
  <c r="J7" i="7"/>
  <c r="J8" i="7"/>
  <c r="K8" i="7" s="1"/>
  <c r="J9" i="7"/>
  <c r="J10" i="7"/>
  <c r="J11" i="7"/>
  <c r="J12" i="7"/>
  <c r="J13" i="7"/>
  <c r="K13" i="7" s="1"/>
  <c r="J14" i="7"/>
  <c r="K14" i="7" s="1"/>
  <c r="J15" i="7"/>
  <c r="K15" i="7" s="1"/>
  <c r="J16" i="7"/>
  <c r="K16" i="7" s="1"/>
  <c r="J17" i="7"/>
  <c r="K17" i="7" s="1"/>
  <c r="J18" i="7"/>
  <c r="K18" i="7" s="1"/>
  <c r="J19" i="7"/>
  <c r="J20" i="7"/>
  <c r="K20" i="7" s="1"/>
  <c r="J21" i="7"/>
  <c r="J22" i="7"/>
  <c r="K22" i="7" s="1"/>
  <c r="J23" i="7"/>
  <c r="K23" i="7" s="1"/>
  <c r="J24" i="7"/>
  <c r="J25" i="7"/>
  <c r="K25" i="7" s="1"/>
  <c r="J26" i="7"/>
  <c r="K26" i="7" s="1"/>
  <c r="J27" i="7"/>
  <c r="K27" i="7" s="1"/>
  <c r="J28" i="7"/>
  <c r="K28" i="7" s="1"/>
  <c r="J29" i="7"/>
  <c r="J30" i="7"/>
  <c r="K30" i="7" s="1"/>
  <c r="J31" i="7"/>
  <c r="J32" i="7"/>
  <c r="K32" i="7" s="1"/>
  <c r="J33" i="7"/>
  <c r="J34" i="7"/>
  <c r="J35" i="7"/>
  <c r="J36" i="7"/>
  <c r="K36" i="7" s="1"/>
  <c r="J37" i="7"/>
  <c r="K37" i="7" s="1"/>
  <c r="J38" i="7"/>
  <c r="K38" i="7" s="1"/>
  <c r="K7" i="7"/>
  <c r="K12" i="7"/>
  <c r="K19" i="7"/>
  <c r="K31" i="7"/>
  <c r="K29" i="7"/>
  <c r="L39" i="7"/>
  <c r="K9" i="7"/>
  <c r="K21" i="7"/>
  <c r="P39" i="7"/>
  <c r="C51" i="8"/>
  <c r="C50" i="8"/>
  <c r="C49" i="8"/>
  <c r="C48" i="8"/>
  <c r="C47" i="8"/>
  <c r="C46" i="8"/>
  <c r="C45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4" i="8"/>
  <c r="C13" i="8"/>
  <c r="C12" i="8"/>
  <c r="C11" i="8"/>
  <c r="C10" i="8"/>
  <c r="C9" i="8"/>
  <c r="C8" i="8"/>
  <c r="C7" i="8"/>
  <c r="C6" i="8"/>
  <c r="C5" i="8"/>
  <c r="C4" i="8"/>
  <c r="K10" i="7"/>
  <c r="K11" i="7"/>
  <c r="K24" i="7"/>
  <c r="K33" i="7"/>
  <c r="K34" i="7"/>
  <c r="K35" i="7"/>
  <c r="M45" i="7" l="1"/>
  <c r="R54" i="7"/>
  <c r="M55" i="7"/>
  <c r="S53" i="7"/>
  <c r="U53" i="7" s="1"/>
  <c r="S62" i="7"/>
  <c r="U62" i="7" s="1"/>
  <c r="S43" i="7"/>
  <c r="U43" i="7" s="1"/>
  <c r="M46" i="7"/>
  <c r="S46" i="7" s="1"/>
  <c r="U46" i="7" s="1"/>
  <c r="R50" i="7"/>
  <c r="S56" i="7"/>
  <c r="U56" i="7" s="1"/>
  <c r="S60" i="7"/>
  <c r="U60" i="7" s="1"/>
  <c r="R41" i="7"/>
  <c r="S41" i="7" s="1"/>
  <c r="U41" i="7" s="1"/>
  <c r="M49" i="7"/>
  <c r="R52" i="7"/>
  <c r="M57" i="7"/>
  <c r="R63" i="7"/>
  <c r="M42" i="7"/>
  <c r="M64" i="7"/>
  <c r="S64" i="7" s="1"/>
  <c r="U64" i="7" s="1"/>
  <c r="S57" i="7"/>
  <c r="U57" i="7" s="1"/>
  <c r="R55" i="7"/>
  <c r="S55" i="7" s="1"/>
  <c r="U55" i="7" s="1"/>
  <c r="S40" i="7"/>
  <c r="U40" i="7" s="1"/>
  <c r="R42" i="7"/>
  <c r="M58" i="7"/>
  <c r="R49" i="7"/>
  <c r="S49" i="7" s="1"/>
  <c r="U49" i="7" s="1"/>
  <c r="S45" i="7"/>
  <c r="U45" i="7" s="1"/>
  <c r="M50" i="7"/>
  <c r="R58" i="7"/>
  <c r="S54" i="7"/>
  <c r="U54" i="7" s="1"/>
  <c r="S52" i="7"/>
  <c r="U52" i="7" s="1"/>
  <c r="S63" i="7"/>
  <c r="U63" i="7" s="1"/>
  <c r="S61" i="7"/>
  <c r="U61" i="7" s="1"/>
  <c r="S48" i="7"/>
  <c r="U48" i="7" s="1"/>
  <c r="S50" i="7"/>
  <c r="U50" i="7" s="1"/>
  <c r="S44" i="7"/>
  <c r="U44" i="7" s="1"/>
  <c r="S42" i="7"/>
  <c r="U42" i="7" s="1"/>
  <c r="S51" i="7"/>
  <c r="U51" i="7" s="1"/>
  <c r="R39" i="7"/>
  <c r="M39" i="7"/>
  <c r="S58" i="7" l="1"/>
  <c r="U58" i="7" s="1"/>
  <c r="S39" i="7"/>
  <c r="U39" i="7" s="1"/>
  <c r="L38" i="7" l="1"/>
  <c r="P38" i="7"/>
  <c r="Q38" i="7"/>
  <c r="L37" i="7"/>
  <c r="P37" i="7"/>
  <c r="Q37" i="7"/>
  <c r="L36" i="7"/>
  <c r="P36" i="7"/>
  <c r="Q36" i="7"/>
  <c r="L35" i="7"/>
  <c r="P35" i="7"/>
  <c r="Q35" i="7"/>
  <c r="M34" i="7"/>
  <c r="L34" i="7"/>
  <c r="P34" i="7"/>
  <c r="R34" i="7" s="1"/>
  <c r="Q34" i="7"/>
  <c r="L33" i="7"/>
  <c r="P33" i="7"/>
  <c r="Q33" i="7"/>
  <c r="L32" i="7"/>
  <c r="P32" i="7"/>
  <c r="Q32" i="7"/>
  <c r="M31" i="7"/>
  <c r="L31" i="7"/>
  <c r="P31" i="7"/>
  <c r="R31" i="7" s="1"/>
  <c r="Q31" i="7"/>
  <c r="L30" i="7"/>
  <c r="P30" i="7"/>
  <c r="Q30" i="7"/>
  <c r="M29" i="7"/>
  <c r="L29" i="7"/>
  <c r="P29" i="7"/>
  <c r="Q29" i="7"/>
  <c r="L28" i="7"/>
  <c r="P28" i="7"/>
  <c r="Q28" i="7"/>
  <c r="L27" i="7"/>
  <c r="P27" i="7"/>
  <c r="Q27" i="7"/>
  <c r="L26" i="7"/>
  <c r="M26" i="7" s="1"/>
  <c r="P26" i="7"/>
  <c r="Q26" i="7"/>
  <c r="Q25" i="7"/>
  <c r="P25" i="7"/>
  <c r="L25" i="7"/>
  <c r="Q24" i="7"/>
  <c r="P24" i="7"/>
  <c r="L24" i="7"/>
  <c r="Q23" i="7"/>
  <c r="P23" i="7"/>
  <c r="L23" i="7"/>
  <c r="M23" i="7" s="1"/>
  <c r="H185" i="7"/>
  <c r="G185" i="7"/>
  <c r="P13" i="7"/>
  <c r="R13" i="7" s="1"/>
  <c r="P10" i="7"/>
  <c r="P11" i="7"/>
  <c r="P12" i="7"/>
  <c r="R12" i="7" s="1"/>
  <c r="P14" i="7"/>
  <c r="P15" i="7"/>
  <c r="R15" i="7" s="1"/>
  <c r="P16" i="7"/>
  <c r="P17" i="7"/>
  <c r="R17" i="7" s="1"/>
  <c r="P18" i="7"/>
  <c r="P19" i="7"/>
  <c r="R19" i="7" s="1"/>
  <c r="P20" i="7"/>
  <c r="R20" i="7" s="1"/>
  <c r="P21" i="7"/>
  <c r="R21" i="7" s="1"/>
  <c r="P22" i="7"/>
  <c r="Q22" i="7"/>
  <c r="L22" i="7"/>
  <c r="Q21" i="7"/>
  <c r="L21" i="7"/>
  <c r="Q20" i="7"/>
  <c r="L20" i="7"/>
  <c r="Q19" i="7"/>
  <c r="L19" i="7"/>
  <c r="Q18" i="7"/>
  <c r="L18" i="7"/>
  <c r="Q17" i="7"/>
  <c r="L17" i="7"/>
  <c r="Q16" i="7"/>
  <c r="L16" i="7"/>
  <c r="Q15" i="7"/>
  <c r="L15" i="7"/>
  <c r="Q14" i="7"/>
  <c r="L14" i="7"/>
  <c r="Q13" i="7"/>
  <c r="L13" i="7"/>
  <c r="Q12" i="7"/>
  <c r="L12" i="7"/>
  <c r="Q11" i="7"/>
  <c r="L11" i="7"/>
  <c r="Q10" i="7"/>
  <c r="L10" i="7"/>
  <c r="R26" i="7" l="1"/>
  <c r="S26" i="7" s="1"/>
  <c r="U26" i="7" s="1"/>
  <c r="R36" i="7"/>
  <c r="R27" i="7"/>
  <c r="R30" i="7"/>
  <c r="R33" i="7"/>
  <c r="M27" i="7"/>
  <c r="M30" i="7"/>
  <c r="S30" i="7" s="1"/>
  <c r="U30" i="7" s="1"/>
  <c r="M33" i="7"/>
  <c r="M36" i="7"/>
  <c r="R28" i="7"/>
  <c r="S31" i="7"/>
  <c r="U31" i="7" s="1"/>
  <c r="M28" i="7"/>
  <c r="M37" i="7"/>
  <c r="R32" i="7"/>
  <c r="R35" i="7"/>
  <c r="R38" i="7"/>
  <c r="M32" i="7"/>
  <c r="M35" i="7"/>
  <c r="M38" i="7"/>
  <c r="R37" i="7"/>
  <c r="S34" i="7"/>
  <c r="U34" i="7" s="1"/>
  <c r="R29" i="7"/>
  <c r="S29" i="7" s="1"/>
  <c r="U29" i="7" s="1"/>
  <c r="R24" i="7"/>
  <c r="M24" i="7"/>
  <c r="M25" i="7"/>
  <c r="R25" i="7"/>
  <c r="R23" i="7"/>
  <c r="S23" i="7" s="1"/>
  <c r="U23" i="7" s="1"/>
  <c r="R11" i="7"/>
  <c r="R14" i="7"/>
  <c r="R18" i="7"/>
  <c r="R22" i="7"/>
  <c r="R16" i="7"/>
  <c r="R10" i="7"/>
  <c r="Q9" i="7"/>
  <c r="P9" i="7"/>
  <c r="R9" i="7" s="1"/>
  <c r="L9" i="7"/>
  <c r="Q8" i="7"/>
  <c r="P8" i="7"/>
  <c r="L8" i="7"/>
  <c r="Q7" i="7"/>
  <c r="P7" i="7"/>
  <c r="L7" i="7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5" i="1"/>
  <c r="C46" i="1"/>
  <c r="C47" i="1"/>
  <c r="C48" i="1"/>
  <c r="C49" i="1"/>
  <c r="C50" i="1"/>
  <c r="C51" i="1"/>
  <c r="C3" i="1"/>
  <c r="C2" i="1"/>
  <c r="Q6" i="7"/>
  <c r="L6" i="7"/>
  <c r="D12" i="5"/>
  <c r="D11" i="5"/>
  <c r="D6" i="5"/>
  <c r="D5" i="5"/>
  <c r="E49" i="4"/>
  <c r="F53" i="4"/>
  <c r="F50" i="4"/>
  <c r="F49" i="4"/>
  <c r="F51" i="4" s="1"/>
  <c r="E58" i="4"/>
  <c r="E46" i="4"/>
  <c r="F46" i="4"/>
  <c r="F34" i="4"/>
  <c r="E34" i="4"/>
  <c r="F40" i="4"/>
  <c r="E40" i="4"/>
  <c r="E50" i="4"/>
  <c r="F22" i="4"/>
  <c r="E22" i="4"/>
  <c r="F15" i="4"/>
  <c r="E15" i="4"/>
  <c r="S28" i="7" l="1"/>
  <c r="U28" i="7" s="1"/>
  <c r="M6" i="7"/>
  <c r="S24" i="7"/>
  <c r="U24" i="7" s="1"/>
  <c r="S38" i="7"/>
  <c r="U38" i="7" s="1"/>
  <c r="S36" i="7"/>
  <c r="U36" i="7" s="1"/>
  <c r="S37" i="7"/>
  <c r="U37" i="7" s="1"/>
  <c r="S35" i="7"/>
  <c r="U35" i="7" s="1"/>
  <c r="S33" i="7"/>
  <c r="U33" i="7" s="1"/>
  <c r="S32" i="7"/>
  <c r="U32" i="7" s="1"/>
  <c r="S27" i="7"/>
  <c r="U27" i="7" s="1"/>
  <c r="S25" i="7"/>
  <c r="U25" i="7" s="1"/>
  <c r="M22" i="7"/>
  <c r="S22" i="7" s="1"/>
  <c r="U22" i="7" s="1"/>
  <c r="M20" i="7"/>
  <c r="S20" i="7" s="1"/>
  <c r="U20" i="7" s="1"/>
  <c r="M21" i="7"/>
  <c r="S21" i="7" s="1"/>
  <c r="U21" i="7" s="1"/>
  <c r="M19" i="7"/>
  <c r="S19" i="7" s="1"/>
  <c r="U19" i="7" s="1"/>
  <c r="R7" i="7"/>
  <c r="M17" i="7"/>
  <c r="S17" i="7" s="1"/>
  <c r="U17" i="7" s="1"/>
  <c r="M13" i="7"/>
  <c r="S13" i="7" s="1"/>
  <c r="U13" i="7" s="1"/>
  <c r="M11" i="7"/>
  <c r="S11" i="7" s="1"/>
  <c r="U11" i="7" s="1"/>
  <c r="M15" i="7"/>
  <c r="S15" i="7" s="1"/>
  <c r="U15" i="7" s="1"/>
  <c r="M18" i="7"/>
  <c r="S18" i="7" s="1"/>
  <c r="U18" i="7" s="1"/>
  <c r="M16" i="7"/>
  <c r="S16" i="7" s="1"/>
  <c r="U16" i="7" s="1"/>
  <c r="M14" i="7"/>
  <c r="S14" i="7" s="1"/>
  <c r="U14" i="7" s="1"/>
  <c r="M12" i="7"/>
  <c r="S12" i="7" s="1"/>
  <c r="U12" i="7" s="1"/>
  <c r="M10" i="7"/>
  <c r="S10" i="7" s="1"/>
  <c r="U10" i="7" s="1"/>
  <c r="M8" i="7"/>
  <c r="M7" i="7"/>
  <c r="M9" i="7"/>
  <c r="S9" i="7" s="1"/>
  <c r="U9" i="7" s="1"/>
  <c r="R8" i="7"/>
  <c r="R6" i="7"/>
  <c r="F56" i="4"/>
  <c r="E51" i="4"/>
  <c r="E23" i="4"/>
  <c r="F23" i="4"/>
  <c r="E53" i="4"/>
  <c r="F41" i="4"/>
  <c r="E41" i="4"/>
  <c r="R185" i="7" l="1"/>
  <c r="R2" i="7" s="1"/>
  <c r="S7" i="7"/>
  <c r="U7" i="7" s="1"/>
  <c r="S8" i="7"/>
  <c r="U8" i="7" s="1"/>
  <c r="M185" i="7"/>
  <c r="M2" i="7" s="1"/>
  <c r="S6" i="7"/>
  <c r="C12" i="5"/>
  <c r="E11" i="5"/>
  <c r="C11" i="5"/>
  <c r="E12" i="5"/>
  <c r="F54" i="4"/>
  <c r="F58" i="4"/>
  <c r="F57" i="4"/>
  <c r="E56" i="4"/>
  <c r="E57" i="4"/>
  <c r="E54" i="4"/>
  <c r="S2" i="7" l="1"/>
  <c r="U6" i="7"/>
  <c r="S185" i="7"/>
  <c r="E6" i="5"/>
  <c r="C5" i="5"/>
  <c r="C6" i="5"/>
  <c r="E5" i="5" l="1"/>
  <c r="E15" i="5" s="1"/>
  <c r="G15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Jairo Andres Medicis Zambrano</author>
  </authors>
  <commentList>
    <comment ref="R7" authorId="0" shapeId="0" xr:uid="{576BAAF3-A02F-47F2-8337-1FDF13582189}">
      <text>
        <r>
          <rPr>
            <b/>
            <sz val="9"/>
            <color indexed="81"/>
            <rFont val="Tahoma"/>
            <family val="2"/>
          </rPr>
          <t>Jairo Andres Medicis Zambrano:</t>
        </r>
        <r>
          <rPr>
            <sz val="9"/>
            <color indexed="81"/>
            <rFont val="Tahoma"/>
            <family val="2"/>
          </rPr>
          <t xml:space="preserve">
REVISAR EL VALOR DE LA FACTURA Y LA RETENCION REALIZADA POR QUE NO COINCIDE</t>
        </r>
      </text>
    </comment>
  </commentList>
</comments>
</file>

<file path=xl/sharedStrings.xml><?xml version="1.0" encoding="utf-8"?>
<sst xmlns="http://schemas.openxmlformats.org/spreadsheetml/2006/main" count="1095" uniqueCount="327">
  <si>
    <t>NUMERO</t>
  </si>
  <si>
    <t>NOMBRE</t>
  </si>
  <si>
    <t>NIT</t>
  </si>
  <si>
    <t>SISCONT LIMITADA</t>
  </si>
  <si>
    <t>814000143-8</t>
  </si>
  <si>
    <t>EL CONSTRUCTOR</t>
  </si>
  <si>
    <t>LB GROUP SAS</t>
  </si>
  <si>
    <t>900698138-8</t>
  </si>
  <si>
    <t>COINSER LTDA</t>
  </si>
  <si>
    <t>846000005-6</t>
  </si>
  <si>
    <t>ACEROS DUVAN</t>
  </si>
  <si>
    <t>RETENCION EN LA FUENTE</t>
  </si>
  <si>
    <t>Nombre</t>
  </si>
  <si>
    <t>AÑO</t>
  </si>
  <si>
    <t>CONCEPTO</t>
  </si>
  <si>
    <t>BASE GRAVABLE</t>
  </si>
  <si>
    <t>TARIFA</t>
  </si>
  <si>
    <t>VALOR RETENIDO</t>
  </si>
  <si>
    <t>Compras</t>
  </si>
  <si>
    <t>Servicios</t>
  </si>
  <si>
    <t>RETEICA</t>
  </si>
  <si>
    <t>CHEQUEO</t>
  </si>
  <si>
    <t>conceptos de retención</t>
  </si>
  <si>
    <t>Base mínima en UVT</t>
  </si>
  <si>
    <t>Base mínima en pesos</t>
  </si>
  <si>
    <t>Tarifa de retención.</t>
  </si>
  <si>
    <t>VALOR UVT</t>
  </si>
  <si>
    <t>Compras generales (declarantes)</t>
  </si>
  <si>
    <t>Compras generales (no declarantes)</t>
  </si>
  <si>
    <t>Compras con tarjeta débito o crédito</t>
  </si>
  <si>
    <t>Compras de bienes o productos agrícolas o pecuarios sin procesamiento industrial</t>
  </si>
  <si>
    <t>Compras de bienes o productos agrícolas o pecuarios con procesamiento industrial (declarantes)</t>
  </si>
  <si>
    <t>Compras de bienes o productos agrícolas o pecuarios con procesamiento industrial declarantes (no declarantes)</t>
  </si>
  <si>
    <t>Compras de café pergamino o cereza</t>
  </si>
  <si>
    <t>Compras de combustibles derivados del petróleo</t>
  </si>
  <si>
    <t>Enajenación de activos fijos de personas naturales (notarías y tránsito son agentes retenedores)</t>
  </si>
  <si>
    <t>Compras de vehículos</t>
  </si>
  <si>
    <t>Compras de bienes raíces cuya destinación y uso sea vivienda de habitación (por las primeras 20.000 UVT, es decir hasta $941.300.000)</t>
  </si>
  <si>
    <t>Compras de bienes raíces cuya destinación y uso sea vivienda de habitación (exceso de las primeras 20.000 UVT, es decir superior a $941.300.000)</t>
  </si>
  <si>
    <t>Compras de bienes raíces cuya destinación y uso sea distinto a vivienda de habitación</t>
  </si>
  <si>
    <t>Servicios generales (declarantes)</t>
  </si>
  <si>
    <t>Servicios generales (no declarantes)</t>
  </si>
  <si>
    <t>Por emolumentos eclesiásticos (declarantes)</t>
  </si>
  <si>
    <t>Por emolumentos eclesiásticos (no declarantes)</t>
  </si>
  <si>
    <t>Servicios de transporte de carga</t>
  </si>
  <si>
    <t>Servicios de transporte nacional de pasajeros por vía terrestre (declarantes)</t>
  </si>
  <si>
    <t>Servicios de transporte nacional de pasajeros por vía terrestre (no declarantes)</t>
  </si>
  <si>
    <t>Servicios de transporte nacional de pasajeros por vía aérea o marítima</t>
  </si>
  <si>
    <t>Servicios prestados por empresas de servicios temporales (sobre AIU)</t>
  </si>
  <si>
    <t>Servicios prestados por empresas de vigilancia y aseo (sobre AIU)</t>
  </si>
  <si>
    <t>Servicios integrales de salud prestados por IPS</t>
  </si>
  <si>
    <t>Servicios de hoteles y restaurantes (declarantes)</t>
  </si>
  <si>
    <t>Servicios de hoteles y restaurantes (no declarantes)</t>
  </si>
  <si>
    <t>Arrendamiento de bienes muebles</t>
  </si>
  <si>
    <t>Arrendamiento de bienes inmuebles (declarantes)</t>
  </si>
  <si>
    <t>Arrendamiento de bienes inmuebles (no declarantes)</t>
  </si>
  <si>
    <t>Otros ingresos tributarios (declarantes)</t>
  </si>
  <si>
    <t>Otros ingresos tributarios (no declarantes)</t>
  </si>
  <si>
    <t>Honorarios y comisiones (personas jurídicas)</t>
  </si>
  <si>
    <t>Honorarios y comisiones pagados a personas naturales que suscriban contratos por más de 3.300 Uvt o que la sumatoria de los pagos o abonos en cuenta durante el año gravable superen 3.300 UVT ($155.315.000)</t>
  </si>
  <si>
    <t>Honorarios y comisiones (no declarantes)</t>
  </si>
  <si>
    <t>Servicios de licenciamiento o derecho de uso de software</t>
  </si>
  <si>
    <t>Intereses o rendimientos financieros</t>
  </si>
  <si>
    <t>Rendimientos financieros provenientes de títulos de renta fija</t>
  </si>
  <si>
    <t>Loterías, rifas, apuestas y similares</t>
  </si>
  <si>
    <t>Retención en colocación independiente de juegos de suerte y azar</t>
  </si>
  <si>
    <t>Contratos de construcción y urbanización.</t>
  </si>
  <si>
    <t>Retención en la fuente por Iva en servicios</t>
  </si>
  <si>
    <t>Retención en la fuente por Iva en compras</t>
  </si>
  <si>
    <t>RETENCIÓN POR PAGOS AL EXTERIOR</t>
  </si>
  <si>
    <t>Pagos o abonos en cuenta por concepto de intereses, comisiones, honorarios, regalías, arrendamientos, compensaciones por servicios personales, o explotación de toda especie de propiedad industrial o del know-how, prestación de servicios, beneficios o regalías provenientes de la propiedad literaria, artística y científica, explotación de películas cinematográficas y explotación de software.</t>
  </si>
  <si>
    <t>Pagos o abonos en cuenta por concepto de consultorías, servicios técnicos y de asistencia técnica, prestados por personas no residentes o no domiciliadas en Colombia,</t>
  </si>
  <si>
    <t>Pagos o abonos en cuenta por concepto de rendimientos financieros, realizados a personas no residentes o no domiciliadas en el país, originados en créditos obtenidos en el exterior por término igual o superior a un (1) año o por concepto de intereses o costos financieros del canon de arrendamiento originados en contratos de leasing que se celebre directamente o a través de compañías de leasing con empresas extranjeras sin domicilio en Colombia,</t>
  </si>
  <si>
    <t>Pagos o abonos en cuenta, originados en contratos de leasing sobre naves, helicópteros y/o aerodinos, así como sus partes que se celebren directamente o a través de compañías de leasing, con empresas extranjeras sin domicilio en Colombia.</t>
  </si>
  <si>
    <t>Pagos o abonos en cuenta por concepto de rendimientos financieros o intereses, realizados a personas no residentes o no domiciliadas en el país, originados en créditos o valores de contenido crediticio, por término igual o superior a ocho (8) años, destinados a la financiación de proyectos de infraestructura bajo el esquema de Asociaciones Público-Privadas en el marco de la Ley 1508 de 2012.</t>
  </si>
  <si>
    <t>Pagos o abonos en cuenta por concepto de prima cedida por reaseguros realizados a personas no residentes o no domiciliadas en el país.</t>
  </si>
  <si>
    <t>Pagos o abono en cuenta por concepto de administración o dirección de que trata el artículo 124 del estatuto tributario, realizados a personas no residentes o no domiciliadas en el país.</t>
  </si>
  <si>
    <t>compras</t>
  </si>
  <si>
    <t>servicios</t>
  </si>
  <si>
    <t>TOTAL MES</t>
  </si>
  <si>
    <t>TOTAL</t>
  </si>
  <si>
    <t>valor minimo de Ret. Fuente</t>
  </si>
  <si>
    <t>valor minimo de Ret. ICA</t>
  </si>
  <si>
    <t>valor minimo de Ret. Fuente junio 2025</t>
  </si>
  <si>
    <t>RETE ICA</t>
  </si>
  <si>
    <t>Obra</t>
  </si>
  <si>
    <t>FECHA</t>
  </si>
  <si>
    <t>Nro factura</t>
  </si>
  <si>
    <t>Monto Factura</t>
  </si>
  <si>
    <t>Base Imponible</t>
  </si>
  <si>
    <t>Concepto</t>
  </si>
  <si>
    <t>RETE FUENTE ?</t>
  </si>
  <si>
    <t>% de retencion</t>
  </si>
  <si>
    <t>VALOR DE RETENCION</t>
  </si>
  <si>
    <t>Concepto2</t>
  </si>
  <si>
    <t>RETE ICA?</t>
  </si>
  <si>
    <t>% De Retencion2</t>
  </si>
  <si>
    <t>VALOR DE RETE ICA</t>
  </si>
  <si>
    <t>Monto a cancelar en Caja</t>
  </si>
  <si>
    <t>Columna4</t>
  </si>
  <si>
    <t>Impuesto por factura</t>
  </si>
  <si>
    <t>OLIMPICO</t>
  </si>
  <si>
    <t>LB2345</t>
  </si>
  <si>
    <t>HORMIGA</t>
  </si>
  <si>
    <t>11E9215</t>
  </si>
  <si>
    <t>PRADO NORTE</t>
  </si>
  <si>
    <t xml:space="preserve"> 01E43620</t>
  </si>
  <si>
    <t>11E9536</t>
  </si>
  <si>
    <t>MALAQUITA INGENIERIA SAS</t>
  </si>
  <si>
    <t>NIT: 901810338-8</t>
  </si>
  <si>
    <t>ESTADOS FINANCIEROS A 31 DE DICIEMBRE</t>
  </si>
  <si>
    <t>ACTIVOS</t>
  </si>
  <si>
    <t>Año 1</t>
  </si>
  <si>
    <t>Año 2024</t>
  </si>
  <si>
    <t>Activo Corriente</t>
  </si>
  <si>
    <t>Efectivo y equivalentes de efectivo</t>
  </si>
  <si>
    <t>Cuentas comerciales y otras cuentas por cobrar</t>
  </si>
  <si>
    <t>Inventarios</t>
  </si>
  <si>
    <t>Productos terminados</t>
  </si>
  <si>
    <t>Materias Primas y Productos en proceso</t>
  </si>
  <si>
    <t>Materiales y respuestos</t>
  </si>
  <si>
    <t>Materiales en transito</t>
  </si>
  <si>
    <t>Inversiones</t>
  </si>
  <si>
    <t>Total Activos Corrientes</t>
  </si>
  <si>
    <t>Activos No Corrientes</t>
  </si>
  <si>
    <t>Propiedad planta y equipos</t>
  </si>
  <si>
    <t>Propiedades de Inversiones</t>
  </si>
  <si>
    <t>Prestamos a empleados</t>
  </si>
  <si>
    <t>Otros activos</t>
  </si>
  <si>
    <t>Total Activos No Corrientes</t>
  </si>
  <si>
    <t>Total Activos</t>
  </si>
  <si>
    <t>PASIVOS</t>
  </si>
  <si>
    <t>Pasivos Corrientes</t>
  </si>
  <si>
    <t>Obligaciones financieras</t>
  </si>
  <si>
    <t>Proveedores</t>
  </si>
  <si>
    <t>Beneficios a empleados</t>
  </si>
  <si>
    <t>Impuesto de renta</t>
  </si>
  <si>
    <t>Dividendos por pagar</t>
  </si>
  <si>
    <t>Ingresos diferidos</t>
  </si>
  <si>
    <t>Gastos de Intereses</t>
  </si>
  <si>
    <t>Total Pasivos Corrientes</t>
  </si>
  <si>
    <t>Pasivos No Corrientes</t>
  </si>
  <si>
    <t>Impuesto de renta diferido</t>
  </si>
  <si>
    <t>otras provisiones</t>
  </si>
  <si>
    <t>Total Pasivo No Corriente</t>
  </si>
  <si>
    <t>Total Pasivos</t>
  </si>
  <si>
    <t>PATRIMONIO</t>
  </si>
  <si>
    <t>Capital Social</t>
  </si>
  <si>
    <t>Ingresos de ventas</t>
  </si>
  <si>
    <t>Total Patrimonio</t>
  </si>
  <si>
    <t>Utilidad Bruta</t>
  </si>
  <si>
    <t>Ingresos-Activo Corriente</t>
  </si>
  <si>
    <t>Gastos Operativos</t>
  </si>
  <si>
    <t>Pasivos corrientes</t>
  </si>
  <si>
    <t>Utilidad Operacional</t>
  </si>
  <si>
    <t>Utilidad Bruta-Gastos Operativos</t>
  </si>
  <si>
    <t>Intereses Anuales</t>
  </si>
  <si>
    <t>Indice de Liquidez</t>
  </si>
  <si>
    <t>Activo Corriente/Päsivo Corriente</t>
  </si>
  <si>
    <t>Indice de Endeudamiento</t>
  </si>
  <si>
    <t>Pasivo total/Activo total</t>
  </si>
  <si>
    <t>Razon de cobertura de Intereses</t>
  </si>
  <si>
    <t>Utilidad Operacional/Gastos de intereses</t>
  </si>
  <si>
    <t>Rentabilidad del patrimonio</t>
  </si>
  <si>
    <t>utilidad operacional/patrimonio</t>
  </si>
  <si>
    <t>Rentabilidad del activo</t>
  </si>
  <si>
    <t>utilidad operacional/activo total</t>
  </si>
  <si>
    <t>VALOR MINIMO RETEFUENTE</t>
  </si>
  <si>
    <t>COLMEGA S.A.S</t>
  </si>
  <si>
    <t>CERAMICAS BENAVIDES</t>
  </si>
  <si>
    <t>CONSTRUCERAMICAS</t>
  </si>
  <si>
    <t>1127071533-1</t>
  </si>
  <si>
    <t>901240065-6</t>
  </si>
  <si>
    <t>VILLAGARZON</t>
  </si>
  <si>
    <t>11E9952</t>
  </si>
  <si>
    <t>11E9954</t>
  </si>
  <si>
    <t>11E10005</t>
  </si>
  <si>
    <t>FVE 1</t>
  </si>
  <si>
    <t>FECB1571</t>
  </si>
  <si>
    <t>11E10039</t>
  </si>
  <si>
    <t>FECB1577</t>
  </si>
  <si>
    <t>11E10116</t>
  </si>
  <si>
    <t>FECB1589</t>
  </si>
  <si>
    <t>VALOR MINIMO RETE ICA</t>
  </si>
  <si>
    <t>El Constructor</t>
  </si>
  <si>
    <t>1124848579</t>
  </si>
  <si>
    <t>FECM132462</t>
  </si>
  <si>
    <t>FECM132467</t>
  </si>
  <si>
    <t>FECM132935</t>
  </si>
  <si>
    <t>FECM131490</t>
  </si>
  <si>
    <t>FECM132975</t>
  </si>
  <si>
    <t>FERRECENTRO MUNDIAL S.A.S ZOMAC</t>
  </si>
  <si>
    <t>901262650</t>
  </si>
  <si>
    <t>FECO158867</t>
  </si>
  <si>
    <t>GERARDO QUINTERO AGUIRRE</t>
  </si>
  <si>
    <t>18102064</t>
  </si>
  <si>
    <t>FE23159</t>
  </si>
  <si>
    <t>814000143</t>
  </si>
  <si>
    <t>01E1361</t>
  </si>
  <si>
    <t>11E10237</t>
  </si>
  <si>
    <t>01E47424</t>
  </si>
  <si>
    <t>11E10406</t>
  </si>
  <si>
    <t>11E10412</t>
  </si>
  <si>
    <t>11E10445</t>
  </si>
  <si>
    <t>CAMARA DE COMERCIO DEL PUTUMAYO</t>
  </si>
  <si>
    <t>891224106</t>
  </si>
  <si>
    <t>RMC65244</t>
  </si>
  <si>
    <t>AC/DC DISTRIBUCIONES Y SERVICIOS S.A.S.</t>
  </si>
  <si>
    <t>901633161</t>
  </si>
  <si>
    <t>ACDC1907</t>
  </si>
  <si>
    <t>2</t>
  </si>
  <si>
    <t>DUVAN LEANDRO ACOSTA LOPEZ</t>
  </si>
  <si>
    <t>1126456991</t>
  </si>
  <si>
    <t>FE1A9935</t>
  </si>
  <si>
    <t>FE1A9923</t>
  </si>
  <si>
    <t>FE2A7642</t>
  </si>
  <si>
    <t>FE2A7697</t>
  </si>
  <si>
    <t>FEAC12884</t>
  </si>
  <si>
    <t>FE1A10212</t>
  </si>
  <si>
    <t>FEAC13082</t>
  </si>
  <si>
    <t>FE1A10357</t>
  </si>
  <si>
    <t>FEAC13223</t>
  </si>
  <si>
    <t>FE1A10387</t>
  </si>
  <si>
    <t>FE1A10392</t>
  </si>
  <si>
    <t>FE1A10549</t>
  </si>
  <si>
    <t>FE1A10634</t>
  </si>
  <si>
    <t>FECR21785</t>
  </si>
  <si>
    <t>FECM132906</t>
  </si>
  <si>
    <t>FECM131712</t>
  </si>
  <si>
    <t>FECM132474</t>
  </si>
  <si>
    <t>FECM132465</t>
  </si>
  <si>
    <t>FECM130797</t>
  </si>
  <si>
    <t>NCC 12993</t>
  </si>
  <si>
    <t>FECM137397</t>
  </si>
  <si>
    <t>FECM137400</t>
  </si>
  <si>
    <t>FECM134635</t>
  </si>
  <si>
    <t>FECO159712</t>
  </si>
  <si>
    <t>FECO159244</t>
  </si>
  <si>
    <t>FECM136401</t>
  </si>
  <si>
    <t>FECM133838</t>
  </si>
  <si>
    <t>MAYERLINE CARLOSAMA LOPEZ</t>
  </si>
  <si>
    <t>FVE80164</t>
  </si>
  <si>
    <t>FECM137086</t>
  </si>
  <si>
    <t>FECM133818</t>
  </si>
  <si>
    <t>FECM134548</t>
  </si>
  <si>
    <t>FERREMONO SAS  ZOMAC</t>
  </si>
  <si>
    <t>901194403</t>
  </si>
  <si>
    <t>CRE14500</t>
  </si>
  <si>
    <t>FECM136396</t>
  </si>
  <si>
    <t>CRE14772</t>
  </si>
  <si>
    <t>FECM134733</t>
  </si>
  <si>
    <t>52382064</t>
  </si>
  <si>
    <t>FVE81411</t>
  </si>
  <si>
    <t>FECO159202</t>
  </si>
  <si>
    <t>FECM135612</t>
  </si>
  <si>
    <t>FECM133802</t>
  </si>
  <si>
    <t>DMC3390</t>
  </si>
  <si>
    <t>CRE14726</t>
  </si>
  <si>
    <t>FECM135678</t>
  </si>
  <si>
    <t>FECM135029</t>
  </si>
  <si>
    <t>FECO160677</t>
  </si>
  <si>
    <t>CRE14545</t>
  </si>
  <si>
    <t>FECO159999</t>
  </si>
  <si>
    <t>FECR22285</t>
  </si>
  <si>
    <t>FECM135694</t>
  </si>
  <si>
    <t>CRE14557</t>
  </si>
  <si>
    <t>FECM134670</t>
  </si>
  <si>
    <t>FECM137282</t>
  </si>
  <si>
    <t>CON14109</t>
  </si>
  <si>
    <t>CRE14552</t>
  </si>
  <si>
    <t>11E10520</t>
  </si>
  <si>
    <t>11E10545</t>
  </si>
  <si>
    <t>11E10627</t>
  </si>
  <si>
    <t>11E10640</t>
  </si>
  <si>
    <t>11E10664</t>
  </si>
  <si>
    <t>11E10720</t>
  </si>
  <si>
    <t>NET ISP SAS</t>
  </si>
  <si>
    <t>900502634</t>
  </si>
  <si>
    <t>NETS131762</t>
  </si>
  <si>
    <t>CONSTRUCERAMICAS COLOMBIA SAS</t>
  </si>
  <si>
    <t>901240065</t>
  </si>
  <si>
    <t>EMC12739</t>
  </si>
  <si>
    <t>EL PUNTO DE LAS TEJAS S.A.S. ZOMAC</t>
  </si>
  <si>
    <t>901452326</t>
  </si>
  <si>
    <t>FEM9128</t>
  </si>
  <si>
    <t>ACDC1944</t>
  </si>
  <si>
    <t>ACDC1992</t>
  </si>
  <si>
    <t>ACDC2106</t>
  </si>
  <si>
    <t>NCAC751</t>
  </si>
  <si>
    <t>FE1A10694</t>
  </si>
  <si>
    <t>FE1A10759</t>
  </si>
  <si>
    <t>FEAC13607</t>
  </si>
  <si>
    <t>FE1A10853</t>
  </si>
  <si>
    <t>FE1A10857</t>
  </si>
  <si>
    <t>FE1A10893</t>
  </si>
  <si>
    <t>FEAC13908</t>
  </si>
  <si>
    <t>FE2A8615</t>
  </si>
  <si>
    <t>FE2A8753</t>
  </si>
  <si>
    <t>FE2A8960</t>
  </si>
  <si>
    <t>FE2A8964</t>
  </si>
  <si>
    <t>FE2A8963</t>
  </si>
  <si>
    <t>FE2A8961</t>
  </si>
  <si>
    <t>FE2A8968</t>
  </si>
  <si>
    <t>FE1A11056</t>
  </si>
  <si>
    <t>FE2A9083</t>
  </si>
  <si>
    <t>FECM134695</t>
  </si>
  <si>
    <t>FECO159285</t>
  </si>
  <si>
    <t>FECO160654</t>
  </si>
  <si>
    <t>FECO160210</t>
  </si>
  <si>
    <t>FECO159587</t>
  </si>
  <si>
    <t>FECM135007</t>
  </si>
  <si>
    <t>FECO160021</t>
  </si>
  <si>
    <t>FECM133923</t>
  </si>
  <si>
    <t>FECM136535</t>
  </si>
  <si>
    <t>FECM137399</t>
  </si>
  <si>
    <t>FECM137191</t>
  </si>
  <si>
    <t>FECM136716</t>
  </si>
  <si>
    <t>FECM134523</t>
  </si>
  <si>
    <t>FECM135675</t>
  </si>
  <si>
    <t>CRE14819</t>
  </si>
  <si>
    <t>FVE80790</t>
  </si>
  <si>
    <t>FECM136498</t>
  </si>
  <si>
    <t>FECO160002</t>
  </si>
  <si>
    <t>FECM134818</t>
  </si>
  <si>
    <t>FECM134426</t>
  </si>
  <si>
    <t>CRE14444</t>
  </si>
  <si>
    <t>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</si>
</sst>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6" formatCode="&quot;$&quot;\ #,##0;[Red]\-&quot;$&quot;\ #,##0"/>
    <numFmt numFmtId="44" formatCode="_-&quot;$&quot;\ * #,##0.00_-;\-&quot;$&quot;\ * #,##0.00_-;_-&quot;$&quot;\ * &quot;-&quot;??_-;_-@_-"/>
    <numFmt numFmtId="164" formatCode="&quot;$&quot;\ #,##0.00"/>
    <numFmt numFmtId="165" formatCode="_-&quot;$&quot;\ * #,##0.00000_-;\-&quot;$&quot;\ * #,##0.00000_-;_-&quot;$&quot;\ * &quot;-&quot;??_-;_-@_-"/>
    <numFmt numFmtId="166" formatCode="_([$$-409]* #,##0_);_([$$-409]* \(#,##0\);_([$$-409]* &quot;-&quot;??_);_(@_)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3"/>
      <color rgb="FF333333"/>
      <name val="Arial"/>
      <family val="2"/>
    </font>
    <font>
      <b/>
      <sz val="13"/>
      <color rgb="FF000000"/>
      <name val="Arial"/>
      <family val="2"/>
    </font>
    <font>
      <sz val="11"/>
      <color theme="1"/>
      <name val="Arial"/>
      <family val="2"/>
    </font>
    <font>
      <sz val="11"/>
      <color theme="2" tint="-0.499984740745262"/>
      <name val="Arial"/>
      <family val="2"/>
    </font>
    <font>
      <sz val="14"/>
      <color theme="1"/>
      <name val="Arial"/>
      <family val="2"/>
    </font>
    <font>
      <sz val="18"/>
      <color theme="0" tint="-0.34998626667073579"/>
      <name val="Arial"/>
      <family val="2"/>
    </font>
    <font>
      <sz val="11"/>
      <name val="Arial"/>
      <family val="2"/>
    </font>
    <font>
      <sz val="14"/>
      <color theme="0" tint="-0.34998626667073579"/>
      <name val="Arial"/>
      <family val="2"/>
    </font>
    <font>
      <b/>
      <sz val="14"/>
      <color theme="9" tint="-0.249977111117893"/>
      <name val="Arial"/>
      <family val="2"/>
    </font>
    <font>
      <sz val="12"/>
      <color theme="1"/>
      <name val="Daytona"/>
      <family val="2"/>
    </font>
    <font>
      <sz val="8"/>
      <name val="Calibri"/>
      <family val="2"/>
      <scheme val="minor"/>
    </font>
    <font>
      <sz val="11"/>
      <color theme="1"/>
      <name val="Daytona"/>
      <family val="2"/>
    </font>
    <font>
      <sz val="10"/>
      <color theme="1"/>
      <name val="Dayton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color theme="2" tint="-0.499984740745262"/>
      <name val="Arial"/>
      <family val="2"/>
    </font>
    <font>
      <sz val="11"/>
      <color rgb="FFFF0000"/>
      <name val="Arial"/>
      <family val="2"/>
    </font>
    <font>
      <sz val="11"/>
      <color rgb="FFFF0000"/>
      <name val="Arial"/>
      <family val="2"/>
    </font>
    <font>
      <sz val="11"/>
      <color theme="7" tint="-0.249977111117893"/>
      <name val="Arial"/>
      <family val="2"/>
    </font>
    <font>
      <sz val="11"/>
      <color theme="7" tint="-0.249977111117893"/>
      <name val="Arial"/>
      <family val="2"/>
    </font>
    <font>
      <sz val="11"/>
      <color theme="9" tint="-0.249977111117893"/>
      <name val="Arial"/>
      <family val="2"/>
    </font>
    <font>
      <sz val="11"/>
      <color theme="7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4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9">
    <xf numFmtId="0" fontId="0" fillId="0" borderId="0" xfId="0"/>
    <xf numFmtId="0" fontId="3" fillId="3" borderId="1" xfId="0" applyFont="1" applyFill="1" applyBorder="1" applyAlignment="1">
      <alignment horizontal="left" vertical="center" wrapText="1"/>
    </xf>
    <xf numFmtId="6" fontId="3" fillId="3" borderId="1" xfId="0" applyNumberFormat="1" applyFont="1" applyFill="1" applyBorder="1" applyAlignment="1">
      <alignment horizontal="left" vertical="center" wrapText="1"/>
    </xf>
    <xf numFmtId="3" fontId="3" fillId="3" borderId="1" xfId="0" applyNumberFormat="1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9" fontId="0" fillId="0" borderId="0" xfId="2" applyFont="1"/>
    <xf numFmtId="10" fontId="0" fillId="0" borderId="0" xfId="2" applyNumberFormat="1" applyFont="1"/>
    <xf numFmtId="0" fontId="4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10" fontId="3" fillId="3" borderId="2" xfId="0" applyNumberFormat="1" applyFont="1" applyFill="1" applyBorder="1" applyAlignment="1">
      <alignment horizontal="left" vertical="center" wrapText="1"/>
    </xf>
    <xf numFmtId="9" fontId="3" fillId="3" borderId="2" xfId="0" applyNumberFormat="1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left" vertical="center" wrapText="1"/>
    </xf>
    <xf numFmtId="0" fontId="3" fillId="4" borderId="9" xfId="0" applyFont="1" applyFill="1" applyBorder="1" applyAlignment="1">
      <alignment horizontal="left" vertical="center" wrapText="1"/>
    </xf>
    <xf numFmtId="9" fontId="3" fillId="4" borderId="10" xfId="0" applyNumberFormat="1" applyFont="1" applyFill="1" applyBorder="1" applyAlignment="1">
      <alignment horizontal="left" vertical="center" wrapText="1"/>
    </xf>
    <xf numFmtId="0" fontId="5" fillId="0" borderId="14" xfId="0" applyFont="1" applyBorder="1"/>
    <xf numFmtId="0" fontId="5" fillId="0" borderId="0" xfId="0" applyFont="1"/>
    <xf numFmtId="0" fontId="8" fillId="0" borderId="14" xfId="0" applyFont="1" applyBorder="1"/>
    <xf numFmtId="0" fontId="8" fillId="0" borderId="0" xfId="0" applyFont="1"/>
    <xf numFmtId="0" fontId="5" fillId="0" borderId="15" xfId="0" applyFont="1" applyBorder="1"/>
    <xf numFmtId="10" fontId="6" fillId="0" borderId="0" xfId="2" applyNumberFormat="1" applyFont="1" applyFill="1" applyBorder="1"/>
    <xf numFmtId="44" fontId="6" fillId="0" borderId="0" xfId="1" applyFont="1" applyFill="1" applyBorder="1"/>
    <xf numFmtId="44" fontId="5" fillId="0" borderId="0" xfId="0" applyNumberFormat="1" applyFont="1"/>
    <xf numFmtId="0" fontId="7" fillId="0" borderId="11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44" fontId="5" fillId="0" borderId="15" xfId="0" applyNumberFormat="1" applyFont="1" applyBorder="1"/>
    <xf numFmtId="0" fontId="10" fillId="0" borderId="12" xfId="0" applyFont="1" applyBorder="1" applyAlignment="1">
      <alignment horizontal="center"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10" fillId="0" borderId="11" xfId="0" applyFont="1" applyBorder="1" applyAlignment="1">
      <alignment vertical="center" wrapText="1"/>
    </xf>
    <xf numFmtId="44" fontId="10" fillId="0" borderId="12" xfId="1" applyFont="1" applyBorder="1" applyAlignment="1">
      <alignment vertical="center"/>
    </xf>
    <xf numFmtId="44" fontId="10" fillId="0" borderId="13" xfId="0" applyNumberFormat="1" applyFont="1" applyBorder="1" applyAlignment="1">
      <alignment vertical="center"/>
    </xf>
    <xf numFmtId="44" fontId="10" fillId="0" borderId="12" xfId="0" applyNumberFormat="1" applyFont="1" applyBorder="1" applyAlignment="1">
      <alignment vertical="center"/>
    </xf>
    <xf numFmtId="1" fontId="10" fillId="0" borderId="12" xfId="0" applyNumberFormat="1" applyFont="1" applyBorder="1" applyAlignment="1">
      <alignment horizontal="center" vertical="center"/>
    </xf>
    <xf numFmtId="1" fontId="5" fillId="0" borderId="0" xfId="0" applyNumberFormat="1" applyFont="1"/>
    <xf numFmtId="1" fontId="8" fillId="0" borderId="0" xfId="0" applyNumberFormat="1" applyFont="1"/>
    <xf numFmtId="0" fontId="7" fillId="0" borderId="0" xfId="0" applyFont="1" applyAlignment="1">
      <alignment vertical="center"/>
    </xf>
    <xf numFmtId="0" fontId="7" fillId="0" borderId="14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7" fillId="0" borderId="0" xfId="0" applyFont="1" applyAlignment="1">
      <alignment vertical="center" wrapText="1"/>
    </xf>
    <xf numFmtId="11" fontId="5" fillId="0" borderId="0" xfId="1" applyNumberFormat="1" applyFont="1" applyFill="1" applyBorder="1" applyAlignment="1">
      <alignment wrapText="1"/>
    </xf>
    <xf numFmtId="1" fontId="5" fillId="0" borderId="0" xfId="1" applyNumberFormat="1" applyFont="1" applyFill="1" applyBorder="1"/>
    <xf numFmtId="14" fontId="5" fillId="0" borderId="0" xfId="1" applyNumberFormat="1" applyFont="1" applyFill="1" applyBorder="1"/>
    <xf numFmtId="11" fontId="5" fillId="0" borderId="0" xfId="1" applyNumberFormat="1" applyFont="1" applyFill="1" applyBorder="1"/>
    <xf numFmtId="44" fontId="5" fillId="0" borderId="0" xfId="1" applyFont="1" applyFill="1" applyBorder="1"/>
    <xf numFmtId="0" fontId="9" fillId="0" borderId="0" xfId="0" applyFont="1" applyAlignment="1">
      <alignment wrapText="1"/>
    </xf>
    <xf numFmtId="0" fontId="6" fillId="0" borderId="0" xfId="0" applyFont="1" applyAlignment="1">
      <alignment horizontal="center" vertical="center"/>
    </xf>
    <xf numFmtId="0" fontId="12" fillId="0" borderId="14" xfId="0" applyFont="1" applyBorder="1"/>
    <xf numFmtId="0" fontId="12" fillId="0" borderId="0" xfId="0" applyFont="1"/>
    <xf numFmtId="0" fontId="12" fillId="0" borderId="15" xfId="0" applyFont="1" applyBorder="1"/>
    <xf numFmtId="0" fontId="0" fillId="0" borderId="14" xfId="0" applyBorder="1"/>
    <xf numFmtId="0" fontId="0" fillId="0" borderId="15" xfId="0" applyBorder="1"/>
    <xf numFmtId="0" fontId="12" fillId="0" borderId="17" xfId="0" applyFont="1" applyBorder="1" applyAlignment="1">
      <alignment horizontal="center"/>
    </xf>
    <xf numFmtId="164" fontId="0" fillId="0" borderId="17" xfId="0" applyNumberFormat="1" applyBorder="1"/>
    <xf numFmtId="0" fontId="0" fillId="0" borderId="17" xfId="0" applyBorder="1"/>
    <xf numFmtId="0" fontId="12" fillId="0" borderId="19" xfId="0" applyFont="1" applyBorder="1"/>
    <xf numFmtId="164" fontId="0" fillId="0" borderId="22" xfId="0" applyNumberFormat="1" applyBorder="1"/>
    <xf numFmtId="0" fontId="0" fillId="0" borderId="23" xfId="0" applyBorder="1"/>
    <xf numFmtId="0" fontId="0" fillId="0" borderId="24" xfId="0" applyBorder="1"/>
    <xf numFmtId="0" fontId="12" fillId="0" borderId="25" xfId="0" applyFont="1" applyBorder="1"/>
    <xf numFmtId="164" fontId="0" fillId="0" borderId="18" xfId="0" applyNumberFormat="1" applyBorder="1"/>
    <xf numFmtId="0" fontId="12" fillId="0" borderId="21" xfId="0" applyFont="1" applyBorder="1"/>
    <xf numFmtId="164" fontId="12" fillId="0" borderId="25" xfId="0" applyNumberFormat="1" applyFont="1" applyBorder="1"/>
    <xf numFmtId="0" fontId="12" fillId="0" borderId="25" xfId="0" applyFont="1" applyBorder="1" applyAlignment="1">
      <alignment horizontal="center" vertical="center"/>
    </xf>
    <xf numFmtId="0" fontId="0" fillId="0" borderId="28" xfId="0" applyBorder="1"/>
    <xf numFmtId="164" fontId="12" fillId="0" borderId="18" xfId="0" applyNumberFormat="1" applyFont="1" applyBorder="1"/>
    <xf numFmtId="164" fontId="12" fillId="0" borderId="17" xfId="0" applyNumberFormat="1" applyFont="1" applyBorder="1"/>
    <xf numFmtId="2" fontId="12" fillId="0" borderId="18" xfId="0" applyNumberFormat="1" applyFont="1" applyBorder="1"/>
    <xf numFmtId="0" fontId="14" fillId="0" borderId="32" xfId="0" applyFont="1" applyBorder="1"/>
    <xf numFmtId="0" fontId="14" fillId="0" borderId="33" xfId="0" applyFont="1" applyBorder="1"/>
    <xf numFmtId="0" fontId="14" fillId="0" borderId="34" xfId="0" applyFont="1" applyBorder="1"/>
    <xf numFmtId="0" fontId="14" fillId="0" borderId="0" xfId="0" applyFont="1"/>
    <xf numFmtId="0" fontId="15" fillId="0" borderId="36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0" fontId="15" fillId="0" borderId="38" xfId="0" applyFont="1" applyBorder="1" applyAlignment="1">
      <alignment horizontal="center" vertical="center"/>
    </xf>
    <xf numFmtId="0" fontId="15" fillId="0" borderId="39" xfId="0" applyFont="1" applyBorder="1" applyAlignment="1">
      <alignment horizontal="center" vertical="center"/>
    </xf>
    <xf numFmtId="44" fontId="15" fillId="0" borderId="35" xfId="1" applyFont="1" applyBorder="1" applyAlignment="1">
      <alignment horizontal="center" vertical="center"/>
    </xf>
    <xf numFmtId="10" fontId="15" fillId="0" borderId="35" xfId="0" applyNumberFormat="1" applyFont="1" applyBorder="1" applyAlignment="1">
      <alignment horizontal="center" vertical="center"/>
    </xf>
    <xf numFmtId="44" fontId="15" fillId="0" borderId="40" xfId="1" applyFont="1" applyBorder="1" applyAlignment="1">
      <alignment horizontal="center" vertical="center"/>
    </xf>
    <xf numFmtId="0" fontId="15" fillId="0" borderId="41" xfId="0" applyFont="1" applyBorder="1" applyAlignment="1">
      <alignment horizontal="center" vertical="center"/>
    </xf>
    <xf numFmtId="44" fontId="15" fillId="0" borderId="42" xfId="1" applyFont="1" applyBorder="1" applyAlignment="1">
      <alignment horizontal="center" vertical="center"/>
    </xf>
    <xf numFmtId="9" fontId="15" fillId="0" borderId="42" xfId="0" applyNumberFormat="1" applyFont="1" applyBorder="1" applyAlignment="1">
      <alignment horizontal="center" vertical="center"/>
    </xf>
    <xf numFmtId="44" fontId="15" fillId="0" borderId="43" xfId="1" applyFont="1" applyBorder="1" applyAlignment="1">
      <alignment horizontal="center" vertical="center"/>
    </xf>
    <xf numFmtId="165" fontId="5" fillId="0" borderId="0" xfId="0" applyNumberFormat="1" applyFont="1"/>
    <xf numFmtId="0" fontId="0" fillId="0" borderId="28" xfId="0" applyBorder="1" applyAlignment="1">
      <alignment horizontal="center"/>
    </xf>
    <xf numFmtId="165" fontId="0" fillId="0" borderId="44" xfId="0" applyNumberFormat="1" applyBorder="1" applyAlignment="1">
      <alignment horizontal="center"/>
    </xf>
    <xf numFmtId="165" fontId="0" fillId="0" borderId="31" xfId="0" applyNumberFormat="1" applyBorder="1"/>
    <xf numFmtId="44" fontId="0" fillId="0" borderId="0" xfId="1" applyFont="1"/>
    <xf numFmtId="44" fontId="0" fillId="0" borderId="0" xfId="0" applyNumberFormat="1"/>
    <xf numFmtId="0" fontId="5" fillId="0" borderId="0" xfId="1" applyNumberFormat="1" applyFont="1" applyFill="1" applyBorder="1"/>
    <xf numFmtId="44" fontId="6" fillId="5" borderId="0" xfId="1" applyFont="1" applyFill="1" applyBorder="1"/>
    <xf numFmtId="44" fontId="5" fillId="5" borderId="0" xfId="1" applyFont="1" applyFill="1" applyBorder="1"/>
    <xf numFmtId="44" fontId="18" fillId="0" borderId="0" xfId="0" applyNumberFormat="1" applyFont="1"/>
    <xf numFmtId="0" fontId="18" fillId="0" borderId="0" xfId="0" applyFont="1"/>
    <xf numFmtId="0" fontId="11" fillId="6" borderId="16" xfId="0" applyFont="1" applyFill="1" applyBorder="1" applyAlignment="1">
      <alignment vertical="center"/>
    </xf>
    <xf numFmtId="1" fontId="11" fillId="6" borderId="16" xfId="0" applyNumberFormat="1" applyFont="1" applyFill="1" applyBorder="1" applyAlignment="1">
      <alignment vertical="center"/>
    </xf>
    <xf numFmtId="0" fontId="7" fillId="6" borderId="0" xfId="0" applyFont="1" applyFill="1" applyAlignment="1">
      <alignment vertical="center"/>
    </xf>
    <xf numFmtId="0" fontId="18" fillId="0" borderId="14" xfId="0" applyFont="1" applyBorder="1"/>
    <xf numFmtId="11" fontId="18" fillId="0" borderId="0" xfId="1" applyNumberFormat="1" applyFont="1" applyAlignment="1">
      <alignment wrapText="1"/>
    </xf>
    <xf numFmtId="1" fontId="18" fillId="0" borderId="0" xfId="1" applyNumberFormat="1" applyFont="1"/>
    <xf numFmtId="14" fontId="18" fillId="0" borderId="0" xfId="1" applyNumberFormat="1" applyFont="1"/>
    <xf numFmtId="11" fontId="18" fillId="0" borderId="0" xfId="1" applyNumberFormat="1" applyFont="1"/>
    <xf numFmtId="44" fontId="18" fillId="0" borderId="0" xfId="1" applyFont="1"/>
    <xf numFmtId="0" fontId="19" fillId="0" borderId="0" xfId="0" applyFont="1" applyAlignment="1">
      <alignment wrapText="1"/>
    </xf>
    <xf numFmtId="0" fontId="20" fillId="0" borderId="0" xfId="0" applyFont="1" applyAlignment="1">
      <alignment horizontal="center" vertical="center"/>
    </xf>
    <xf numFmtId="10" fontId="20" fillId="0" borderId="0" xfId="2" applyNumberFormat="1" applyFont="1"/>
    <xf numFmtId="44" fontId="20" fillId="0" borderId="0" xfId="1" applyFont="1"/>
    <xf numFmtId="0" fontId="18" fillId="0" borderId="0" xfId="1" applyNumberFormat="1" applyFont="1"/>
    <xf numFmtId="0" fontId="21" fillId="0" borderId="14" xfId="0" applyFont="1" applyBorder="1"/>
    <xf numFmtId="11" fontId="22" fillId="0" borderId="0" xfId="1" applyNumberFormat="1" applyFont="1" applyAlignment="1">
      <alignment wrapText="1"/>
    </xf>
    <xf numFmtId="1" fontId="22" fillId="0" borderId="0" xfId="1" applyNumberFormat="1" applyFont="1"/>
    <xf numFmtId="1" fontId="21" fillId="0" borderId="0" xfId="1" applyNumberFormat="1" applyFont="1" applyFill="1" applyBorder="1"/>
    <xf numFmtId="14" fontId="22" fillId="0" borderId="0" xfId="1" applyNumberFormat="1" applyFont="1"/>
    <xf numFmtId="0" fontId="22" fillId="0" borderId="0" xfId="1" applyNumberFormat="1" applyFont="1"/>
    <xf numFmtId="44" fontId="22" fillId="0" borderId="0" xfId="1" applyFont="1"/>
    <xf numFmtId="44" fontId="21" fillId="0" borderId="0" xfId="1" applyFont="1" applyFill="1" applyBorder="1"/>
    <xf numFmtId="0" fontId="22" fillId="0" borderId="0" xfId="0" applyFont="1" applyAlignment="1">
      <alignment wrapText="1"/>
    </xf>
    <xf numFmtId="0" fontId="22" fillId="0" borderId="0" xfId="0" applyFont="1" applyAlignment="1">
      <alignment horizontal="center" vertical="center"/>
    </xf>
    <xf numFmtId="10" fontId="22" fillId="0" borderId="0" xfId="2" applyNumberFormat="1" applyFont="1"/>
    <xf numFmtId="44" fontId="22" fillId="0" borderId="0" xfId="0" applyNumberFormat="1" applyFont="1"/>
    <xf numFmtId="0" fontId="22" fillId="0" borderId="0" xfId="0" applyFont="1"/>
    <xf numFmtId="0" fontId="21" fillId="0" borderId="0" xfId="0" applyFont="1"/>
    <xf numFmtId="0" fontId="23" fillId="0" borderId="14" xfId="0" applyFont="1" applyBorder="1"/>
    <xf numFmtId="11" fontId="24" fillId="0" borderId="0" xfId="1" applyNumberFormat="1" applyFont="1" applyAlignment="1">
      <alignment wrapText="1"/>
    </xf>
    <xf numFmtId="1" fontId="24" fillId="0" borderId="0" xfId="1" applyNumberFormat="1" applyFont="1"/>
    <xf numFmtId="1" fontId="23" fillId="0" borderId="0" xfId="1" applyNumberFormat="1" applyFont="1" applyFill="1" applyBorder="1"/>
    <xf numFmtId="14" fontId="24" fillId="0" borderId="0" xfId="1" applyNumberFormat="1" applyFont="1"/>
    <xf numFmtId="0" fontId="24" fillId="0" borderId="0" xfId="1" applyNumberFormat="1" applyFont="1"/>
    <xf numFmtId="44" fontId="24" fillId="0" borderId="0" xfId="1" applyFont="1"/>
    <xf numFmtId="44" fontId="23" fillId="0" borderId="0" xfId="1" applyFont="1" applyFill="1" applyBorder="1"/>
    <xf numFmtId="0" fontId="24" fillId="0" borderId="0" xfId="0" applyFont="1" applyAlignment="1">
      <alignment wrapText="1"/>
    </xf>
    <xf numFmtId="0" fontId="24" fillId="0" borderId="0" xfId="0" applyFont="1" applyAlignment="1">
      <alignment horizontal="center" vertical="center"/>
    </xf>
    <xf numFmtId="10" fontId="24" fillId="0" borderId="0" xfId="2" applyNumberFormat="1" applyFont="1"/>
    <xf numFmtId="44" fontId="24" fillId="0" borderId="0" xfId="0" applyNumberFormat="1" applyFont="1"/>
    <xf numFmtId="0" fontId="24" fillId="0" borderId="0" xfId="0" applyFont="1"/>
    <xf numFmtId="0" fontId="23" fillId="0" borderId="0" xfId="0" applyFont="1"/>
    <xf numFmtId="11" fontId="21" fillId="0" borderId="0" xfId="1" applyNumberFormat="1" applyFont="1" applyFill="1" applyBorder="1" applyAlignment="1">
      <alignment wrapText="1"/>
    </xf>
    <xf numFmtId="14" fontId="21" fillId="0" borderId="0" xfId="1" applyNumberFormat="1" applyFont="1" applyFill="1" applyBorder="1"/>
    <xf numFmtId="0" fontId="21" fillId="0" borderId="0" xfId="1" applyNumberFormat="1" applyFont="1" applyFill="1" applyBorder="1"/>
    <xf numFmtId="0" fontId="21" fillId="0" borderId="0" xfId="0" applyFont="1" applyAlignment="1">
      <alignment wrapText="1"/>
    </xf>
    <xf numFmtId="0" fontId="21" fillId="0" borderId="0" xfId="0" applyFont="1" applyAlignment="1">
      <alignment horizontal="center" vertical="center"/>
    </xf>
    <xf numFmtId="10" fontId="21" fillId="0" borderId="0" xfId="2" applyNumberFormat="1" applyFont="1" applyFill="1" applyBorder="1"/>
    <xf numFmtId="44" fontId="21" fillId="0" borderId="0" xfId="0" applyNumberFormat="1" applyFont="1"/>
    <xf numFmtId="0" fontId="5" fillId="0" borderId="0" xfId="0" applyFont="1" applyBorder="1"/>
    <xf numFmtId="0" fontId="10" fillId="0" borderId="12" xfId="0" applyFont="1" applyBorder="1" applyAlignment="1">
      <alignment vertical="center" wrapText="1"/>
    </xf>
    <xf numFmtId="0" fontId="7" fillId="0" borderId="0" xfId="0" applyFont="1" applyBorder="1" applyAlignment="1">
      <alignment vertical="center"/>
    </xf>
    <xf numFmtId="44" fontId="9" fillId="0" borderId="0" xfId="0" applyNumberFormat="1" applyFont="1" applyAlignment="1">
      <alignment wrapText="1"/>
    </xf>
    <xf numFmtId="44" fontId="21" fillId="0" borderId="0" xfId="0" applyNumberFormat="1" applyFont="1" applyAlignment="1">
      <alignment wrapText="1"/>
    </xf>
    <xf numFmtId="44" fontId="19" fillId="0" borderId="0" xfId="0" applyNumberFormat="1" applyFont="1" applyAlignment="1">
      <alignment wrapText="1"/>
    </xf>
    <xf numFmtId="44" fontId="24" fillId="0" borderId="0" xfId="0" applyNumberFormat="1" applyFont="1" applyAlignment="1">
      <alignment wrapText="1"/>
    </xf>
    <xf numFmtId="44" fontId="22" fillId="0" borderId="0" xfId="0" applyNumberFormat="1" applyFont="1" applyAlignment="1">
      <alignment wrapText="1"/>
    </xf>
    <xf numFmtId="44" fontId="9" fillId="0" borderId="0" xfId="1" applyFont="1" applyBorder="1" applyAlignment="1">
      <alignment vertical="center"/>
    </xf>
    <xf numFmtId="11" fontId="26" fillId="0" borderId="0" xfId="1" applyNumberFormat="1" applyFont="1" applyFill="1" applyBorder="1" applyAlignment="1">
      <alignment wrapText="1"/>
    </xf>
    <xf numFmtId="11" fontId="25" fillId="0" borderId="0" xfId="1" applyNumberFormat="1" applyFont="1" applyFill="1" applyBorder="1" applyAlignment="1">
      <alignment wrapText="1"/>
    </xf>
    <xf numFmtId="11" fontId="26" fillId="0" borderId="0" xfId="1" applyNumberFormat="1" applyFont="1" applyAlignment="1">
      <alignment wrapText="1"/>
    </xf>
    <xf numFmtId="1" fontId="26" fillId="0" borderId="0" xfId="1" applyNumberFormat="1" applyFont="1" applyFill="1" applyBorder="1"/>
    <xf numFmtId="1" fontId="25" fillId="0" borderId="0" xfId="1" applyNumberFormat="1" applyFont="1" applyFill="1" applyBorder="1"/>
    <xf numFmtId="1" fontId="26" fillId="0" borderId="0" xfId="1" applyNumberFormat="1" applyFont="1"/>
    <xf numFmtId="14" fontId="26" fillId="0" borderId="0" xfId="1" applyNumberFormat="1" applyFont="1" applyFill="1" applyBorder="1"/>
    <xf numFmtId="14" fontId="25" fillId="0" borderId="0" xfId="1" applyNumberFormat="1" applyFont="1" applyFill="1" applyBorder="1"/>
    <xf numFmtId="14" fontId="26" fillId="0" borderId="0" xfId="1" applyNumberFormat="1" applyFont="1"/>
    <xf numFmtId="0" fontId="26" fillId="0" borderId="0" xfId="1" applyNumberFormat="1" applyFont="1" applyFill="1" applyBorder="1"/>
    <xf numFmtId="0" fontId="25" fillId="0" borderId="0" xfId="1" applyNumberFormat="1" applyFont="1" applyFill="1" applyBorder="1"/>
    <xf numFmtId="11" fontId="25" fillId="0" borderId="0" xfId="1" applyNumberFormat="1" applyFont="1" applyFill="1" applyBorder="1"/>
    <xf numFmtId="0" fontId="26" fillId="0" borderId="0" xfId="1" applyNumberFormat="1" applyFont="1"/>
    <xf numFmtId="44" fontId="26" fillId="0" borderId="0" xfId="1" applyFont="1" applyFill="1" applyBorder="1"/>
    <xf numFmtId="44" fontId="25" fillId="0" borderId="0" xfId="1" applyFont="1" applyFill="1" applyBorder="1"/>
    <xf numFmtId="44" fontId="26" fillId="0" borderId="0" xfId="1" applyFont="1"/>
    <xf numFmtId="0" fontId="23" fillId="0" borderId="0" xfId="0" applyFont="1" applyAlignment="1">
      <alignment wrapText="1"/>
    </xf>
    <xf numFmtId="44" fontId="6" fillId="0" borderId="0" xfId="1" applyFont="1" applyAlignment="1">
      <alignment horizontal="center" vertical="center"/>
    </xf>
    <xf numFmtId="44" fontId="24" fillId="0" borderId="0" xfId="1" applyFont="1" applyAlignment="1">
      <alignment horizontal="center" vertical="center"/>
    </xf>
    <xf numFmtId="0" fontId="25" fillId="0" borderId="0" xfId="0" applyFont="1"/>
    <xf numFmtId="1" fontId="25" fillId="0" borderId="0" xfId="0" applyNumberFormat="1" applyFont="1"/>
    <xf numFmtId="166" fontId="5" fillId="0" borderId="0" xfId="0" applyNumberFormat="1" applyFont="1"/>
    <xf numFmtId="0" fontId="25" fillId="7" borderId="0" xfId="0" applyFont="1" applyFill="1"/>
    <xf numFmtId="1" fontId="25" fillId="7" borderId="0" xfId="0" applyNumberFormat="1" applyFont="1" applyFill="1"/>
    <xf numFmtId="0" fontId="5" fillId="7" borderId="0" xfId="0" applyFont="1" applyFill="1"/>
    <xf numFmtId="166" fontId="5" fillId="7" borderId="0" xfId="0" applyNumberFormat="1" applyFont="1" applyFill="1"/>
    <xf numFmtId="0" fontId="25" fillId="8" borderId="0" xfId="0" applyFont="1" applyFill="1"/>
    <xf numFmtId="1" fontId="25" fillId="8" borderId="0" xfId="0" applyNumberFormat="1" applyFont="1" applyFill="1"/>
    <xf numFmtId="0" fontId="5" fillId="8" borderId="0" xfId="0" applyFont="1" applyFill="1"/>
    <xf numFmtId="166" fontId="5" fillId="8" borderId="0" xfId="0" applyNumberFormat="1" applyFont="1" applyFill="1"/>
    <xf numFmtId="14" fontId="25" fillId="0" borderId="0" xfId="0" applyNumberFormat="1" applyFont="1"/>
    <xf numFmtId="14" fontId="25" fillId="7" borderId="0" xfId="0" applyNumberFormat="1" applyFont="1" applyFill="1"/>
    <xf numFmtId="14" fontId="25" fillId="8" borderId="0" xfId="0" applyNumberFormat="1" applyFont="1" applyFill="1"/>
    <xf numFmtId="1" fontId="25" fillId="5" borderId="0" xfId="0" applyNumberFormat="1" applyFont="1" applyFill="1"/>
    <xf numFmtId="1" fontId="25" fillId="5" borderId="0" xfId="1" applyNumberFormat="1" applyFont="1" applyFill="1" applyBorder="1"/>
    <xf numFmtId="1" fontId="21" fillId="5" borderId="0" xfId="1" applyNumberFormat="1" applyFont="1" applyFill="1" applyBorder="1"/>
    <xf numFmtId="1" fontId="26" fillId="5" borderId="0" xfId="1" applyNumberFormat="1" applyFont="1" applyFill="1" applyBorder="1"/>
    <xf numFmtId="0" fontId="14" fillId="0" borderId="29" xfId="0" applyFont="1" applyBorder="1" applyAlignment="1">
      <alignment horizontal="center"/>
    </xf>
    <xf numFmtId="0" fontId="14" fillId="0" borderId="16" xfId="0" applyFont="1" applyBorder="1" applyAlignment="1">
      <alignment horizontal="center"/>
    </xf>
    <xf numFmtId="0" fontId="14" fillId="0" borderId="30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0" fontId="14" fillId="0" borderId="13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15" xfId="0" applyFont="1" applyBorder="1" applyAlignment="1">
      <alignment horizontal="center"/>
    </xf>
    <xf numFmtId="0" fontId="12" fillId="0" borderId="27" xfId="0" applyFont="1" applyBorder="1" applyAlignment="1">
      <alignment horizontal="left"/>
    </xf>
    <xf numFmtId="0" fontId="12" fillId="0" borderId="26" xfId="0" applyFont="1" applyBorder="1" applyAlignment="1">
      <alignment horizontal="left"/>
    </xf>
    <xf numFmtId="0" fontId="12" fillId="0" borderId="26" xfId="0" applyFont="1" applyBorder="1" applyAlignment="1">
      <alignment horizontal="center"/>
    </xf>
    <xf numFmtId="0" fontId="12" fillId="0" borderId="25" xfId="0" applyFont="1" applyBorder="1" applyAlignment="1">
      <alignment horizontal="center"/>
    </xf>
    <xf numFmtId="0" fontId="12" fillId="0" borderId="27" xfId="0" applyFont="1" applyBorder="1" applyAlignment="1">
      <alignment horizontal="left" wrapText="1"/>
    </xf>
    <xf numFmtId="0" fontId="12" fillId="0" borderId="26" xfId="0" applyFont="1" applyBorder="1" applyAlignment="1">
      <alignment horizontal="left" wrapText="1"/>
    </xf>
    <xf numFmtId="0" fontId="12" fillId="0" borderId="25" xfId="0" applyFont="1" applyBorder="1" applyAlignment="1">
      <alignment horizontal="left"/>
    </xf>
    <xf numFmtId="0" fontId="12" fillId="0" borderId="29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14" xfId="0" applyFont="1" applyBorder="1" applyAlignment="1">
      <alignment horizontal="left"/>
    </xf>
    <xf numFmtId="0" fontId="12" fillId="0" borderId="0" xfId="0" applyFont="1" applyAlignment="1">
      <alignment horizontal="left"/>
    </xf>
    <xf numFmtId="0" fontId="12" fillId="0" borderId="15" xfId="0" applyFont="1" applyBorder="1" applyAlignment="1">
      <alignment horizontal="left"/>
    </xf>
    <xf numFmtId="0" fontId="12" fillId="0" borderId="20" xfId="0" applyFont="1" applyBorder="1" applyAlignment="1">
      <alignment horizontal="left"/>
    </xf>
    <xf numFmtId="0" fontId="12" fillId="0" borderId="21" xfId="0" applyFont="1" applyBorder="1" applyAlignment="1">
      <alignment horizontal="left"/>
    </xf>
  </cellXfs>
  <cellStyles count="3">
    <cellStyle name="Moneda" xfId="1" builtinId="4"/>
    <cellStyle name="Normal" xfId="0" builtinId="0"/>
    <cellStyle name="Porcentaje" xfId="2" builtinId="5"/>
  </cellStyles>
  <dxfs count="6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5" formatCode="_-&quot;$&quot;\ * #,##0.00000_-;\-&quot;$&quot;\ * #,##0.000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4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4" formatCode="_-&quot;$&quot;\ * #,##0.00_-;\-&quot;$&quot;\ * #,##0.00_-;_-&quot;$&quot;\ * &quot;-&quot;??_-;_-@_-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4" formatCode="_-&quot;$&quot;\ * #,##0.00_-;\-&quot;$&quot;\ * #,##0.00_-;_-&quot;$&quot;\ * &quot;-&quot;??_-;_-@_-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4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4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4" formatCode="_-&quot;$&quot;\ * #,##0.00_-;\-&quot;$&quot;\ * #,##0.00_-;_-&quot;$&quot;\ * &quot;-&quot;??_-;_-@_-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border outline="0">
        <top style="medium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</dxf>
    <dxf>
      <border outline="0">
        <bottom style="medium">
          <color rgb="FF000000"/>
        </bottom>
      </border>
    </dxf>
    <dxf>
      <border outline="0">
        <top style="thick">
          <color rgb="FF0091D5"/>
        </top>
      </border>
    </dxf>
    <dxf>
      <border outline="0"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scheme val="none"/>
      </font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333333"/>
        <name val="Arial"/>
        <scheme val="none"/>
      </font>
      <numFmt numFmtId="13" formatCode="0%"/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333333"/>
        <name val="Arial"/>
        <scheme val="none"/>
      </font>
      <numFmt numFmtId="10" formatCode="&quot;$&quot;\ #,##0;[Red]\-&quot;$&quot;\ #,##0"/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333333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333333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thick">
          <color rgb="FF0091D5"/>
        </top>
        <bottom style="medium">
          <color rgb="FFCCCCCC"/>
        </bottom>
      </border>
    </dxf>
    <dxf>
      <border outline="0"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scheme val="none"/>
      </font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border outline="0">
        <top style="thick">
          <color rgb="FF0091D5"/>
        </top>
      </border>
    </dxf>
    <dxf>
      <border outline="0"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scheme val="none"/>
      </font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333333"/>
        <name val="Arial"/>
        <scheme val="none"/>
      </font>
      <numFmt numFmtId="13" formatCode="0%"/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333333"/>
        <name val="Arial"/>
        <scheme val="none"/>
      </font>
      <numFmt numFmtId="10" formatCode="&quot;$&quot;\ #,##0;[Red]\-&quot;$&quot;\ #,##0"/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333333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333333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thick">
          <color rgb="FF0091D5"/>
        </top>
        <bottom style="medium">
          <color rgb="FFCCCCCC"/>
        </bottom>
      </border>
    </dxf>
    <dxf>
      <border outline="0"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scheme val="none"/>
      </font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1" defaultTableStyle="TableStyleMedium2" defaultPivotStyle="PivotStyleLight16">
    <tableStyle name="Estilo de tabla 1" pivot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190501</xdr:colOff>
      <xdr:row>63</xdr:row>
      <xdr:rowOff>108857</xdr:rowOff>
    </xdr:from>
    <xdr:to>
      <xdr:col>3</xdr:col>
      <xdr:colOff>1197429</xdr:colOff>
      <xdr:row>68</xdr:row>
      <xdr:rowOff>68036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791D7279-B80C-23FD-B5D5-743BCB41537C}"/>
            </a:ext>
          </a:extLst>
        </xdr:cNvPr>
        <xdr:cNvSpPr txBox="1"/>
      </xdr:nvSpPr>
      <xdr:spPr>
        <a:xfrm>
          <a:off x="952501" y="15362464"/>
          <a:ext cx="3170464" cy="91167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/>
            <a:t>____________________________</a:t>
          </a:r>
          <a:endParaRPr lang="es-CO" sz="1100" baseline="0"/>
        </a:p>
        <a:p>
          <a:r>
            <a:rPr lang="es-CO" sz="1100" baseline="0"/>
            <a:t>SILVANA ISABEL MONCAYO MORA</a:t>
          </a:r>
        </a:p>
        <a:p>
          <a:r>
            <a:rPr lang="es-CO" sz="1100" baseline="0"/>
            <a:t>Representante Legal</a:t>
          </a:r>
        </a:p>
        <a:p>
          <a:r>
            <a:rPr lang="es-CO" sz="1100" baseline="0"/>
            <a:t>Malaquita Ingenieria S.A.S</a:t>
          </a:r>
          <a:endParaRPr lang="es-CO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EECB59F-3CFB-4693-8A4C-DF566CA3B6AC}" name="Tabla4" displayName="Tabla4" ref="A1:C6" totalsRowShown="0">
  <autoFilter ref="A1:C6" xr:uid="{1EECB59F-3CFB-4693-8A4C-DF566CA3B6AC}"/>
  <tableColumns count="3">
    <tableColumn id="1" xr3:uid="{955AA9AB-4E2E-4D6E-9FAB-A9FF39BD61E6}" name="NUMERO"/>
    <tableColumn id="2" xr3:uid="{787E3C32-3713-4776-AE64-EF99902650D5}" name="NOMBRE"/>
    <tableColumn id="3" xr3:uid="{1DEDB839-E06D-47DC-88CE-7C643C82B4D0}" name="NIT"/>
  </tableColumns>
  <tableStyleInfo name="Estilo de tabla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0B08413-1E4A-400F-B813-25556A6E1C6C}" name="retfuente4" displayName="retfuente4" ref="A1:D51" totalsRowShown="0" headerRowDxfId="60" headerRowBorderDxfId="59" tableBorderDxfId="58" totalsRowBorderDxfId="57">
  <autoFilter ref="A1:D51" xr:uid="{00000000-0009-0000-0100-000001000000}"/>
  <tableColumns count="4">
    <tableColumn id="1" xr3:uid="{A2F95FA5-FC50-46F0-B324-33BFFD794458}" name="conceptos de retención" dataDxfId="56"/>
    <tableColumn id="2" xr3:uid="{D7FFCA00-257C-4038-B21F-704CEBF7C6BE}" name="Base mínima en UVT" dataDxfId="55"/>
    <tableColumn id="3" xr3:uid="{1C656E37-0ADF-4278-8C07-39578E8442A7}" name="Base mínima en pesos" dataDxfId="54"/>
    <tableColumn id="4" xr3:uid="{3EDCC19B-24B4-4F1B-8AEE-05AE2939B8DA}" name="Tarifa de retención." dataDxfId="53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078A43A-F4A0-4EB2-8079-250D53559FE1}" name="retICA7" displayName="retICA7" ref="A1:D3" totalsRowShown="0" headerRowDxfId="52" headerRowBorderDxfId="51" tableBorderDxfId="50">
  <autoFilter ref="A1:D3" xr:uid="{00000000-0009-0000-0100-000002000000}"/>
  <tableColumns count="4">
    <tableColumn id="1" xr3:uid="{ADBEAE19-A8A5-4BF6-AB2E-7679BA7616AC}" name="conceptos de retención"/>
    <tableColumn id="2" xr3:uid="{C82B6C3B-EFC4-4B36-8F89-736DCB51B75A}" name="Base mínima en UVT"/>
    <tableColumn id="3" xr3:uid="{20C789BE-C3E2-409A-9BF4-E3FB63F88B56}" name="Base mínima en pesos">
      <calculatedColumnFormula>retICA7[[#This Row],[Base mínima en UVT]]*'ret. fuente 2025 enero junio'!$F$2</calculatedColumnFormula>
    </tableColumn>
    <tableColumn id="4" xr3:uid="{D80CDB2D-58AC-4F12-BFF8-56C47DFB5FFB}" name="Tarifa de retención.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tfuente" displayName="retfuente" ref="A1:D51" totalsRowShown="0" headerRowDxfId="49" headerRowBorderDxfId="48" tableBorderDxfId="47" totalsRowBorderDxfId="46">
  <autoFilter ref="A1:D51" xr:uid="{00000000-0009-0000-0100-000001000000}"/>
  <tableColumns count="4">
    <tableColumn id="1" xr3:uid="{00000000-0010-0000-0000-000001000000}" name="conceptos de retención" dataDxfId="45"/>
    <tableColumn id="2" xr3:uid="{00000000-0010-0000-0000-000002000000}" name="Base mínima en UVT" dataDxfId="44"/>
    <tableColumn id="3" xr3:uid="{00000000-0010-0000-0000-000003000000}" name="Base mínima en pesos" dataDxfId="43"/>
    <tableColumn id="4" xr3:uid="{00000000-0010-0000-0000-000004000000}" name="Tarifa de retención." dataDxfId="42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tICA" displayName="retICA" ref="A1:D3" totalsRowShown="0" headerRowDxfId="41" headerRowBorderDxfId="40" tableBorderDxfId="39">
  <autoFilter ref="A1:D3" xr:uid="{00000000-0009-0000-0100-000002000000}"/>
  <tableColumns count="4">
    <tableColumn id="1" xr3:uid="{00000000-0010-0000-0100-000001000000}" name="conceptos de retención"/>
    <tableColumn id="2" xr3:uid="{00000000-0010-0000-0100-000002000000}" name="Base mínima en UVT"/>
    <tableColumn id="3" xr3:uid="{00000000-0010-0000-0100-000003000000}" name="Base mínima en pesos"/>
    <tableColumn id="4" xr3:uid="{00000000-0010-0000-0100-000004000000}" name="Tarifa de retención.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8549790-0F35-4D0A-A9B9-7EF5C850D114}" name="Tabla36" displayName="Tabla36" ref="B5:U185" totalsRowCount="1" dataDxfId="37" headerRowBorderDxfId="38" tableBorderDxfId="36">
  <autoFilter ref="B5:U184" xr:uid="{00000000-0009-0000-0100-000003000000}"/>
  <tableColumns count="20">
    <tableColumn id="15" xr3:uid="{D3A2C099-2E55-4B33-B883-56FAB4A19135}" name="NOMBRE" totalsRowLabel="TOTALES" dataDxfId="35"/>
    <tableColumn id="16" xr3:uid="{F6D9753B-72A3-4EB3-A6A8-935FEBF686BE}" name="NIT" dataDxfId="34"/>
    <tableColumn id="18" xr3:uid="{8B84BC91-EA9F-4300-950C-FA1FFE4506B3}" name="Obra" dataDxfId="33" dataCellStyle="Moneda"/>
    <tableColumn id="17" xr3:uid="{00263C7C-45AF-4C49-855B-9CB9B5A76252}" name="FECHA" dataDxfId="32"/>
    <tableColumn id="1" xr3:uid="{9914F09A-6C62-461F-8DA8-F3EF7CA02875}" name="Nro factura" dataDxfId="31" totalsRowDxfId="15"/>
    <tableColumn id="2" xr3:uid="{61E334E2-149D-425A-AFF5-233B903984DC}" name="Monto Factura" totalsRowFunction="sum" dataDxfId="30" totalsRowDxfId="14"/>
    <tableColumn id="3" xr3:uid="{AA3C5361-7B8B-430D-BDC5-28B90F71D0FD}" name="Base Imponible" totalsRowFunction="sum" dataDxfId="29" totalsRowDxfId="13" dataCellStyle="Moneda"/>
    <tableColumn id="4" xr3:uid="{E2994AC4-BF11-42C6-9419-9CC26E31F8CF}" name="Concepto" dataDxfId="28" totalsRowDxfId="12"/>
    <tableColumn id="19" xr3:uid="{C0EF7F82-D392-4655-A99D-9ECF9EDE7D21}" name="VALOR MINIMO RETEFUENTE" dataDxfId="27" totalsRowDxfId="11">
      <calculatedColumnFormula>VLOOKUP(I6,retfuente[],3,FALSE)</calculatedColumnFormula>
    </tableColumn>
    <tableColumn id="5" xr3:uid="{FA9C539C-C583-4FBF-A97B-1EAE44492FE4}" name="RETE FUENTE ?" dataDxfId="26" totalsRowDxfId="10"/>
    <tableColumn id="6" xr3:uid="{5618FEA9-AE2F-4764-952B-F17BF4AB620C}" name="% de retencion" dataDxfId="25" totalsRowDxfId="9"/>
    <tableColumn id="7" xr3:uid="{E27A1D1C-23FC-4693-9665-A26442E7FF96}" name="VALOR DE RETENCION" totalsRowFunction="sum" dataDxfId="24" totalsRowDxfId="8"/>
    <tableColumn id="8" xr3:uid="{E9CC3F76-F6F8-4A03-AB06-4D4371397736}" name="Concepto2" dataDxfId="23" totalsRowDxfId="7"/>
    <tableColumn id="20" xr3:uid="{9E4153A9-83BE-4D5D-92A5-4E0F945E5B80}" name="VALOR MINIMO RETE ICA" dataDxfId="22" totalsRowDxfId="6">
      <calculatedColumnFormula>VLOOKUP(N6,retICA[],3,FALSE)</calculatedColumnFormula>
    </tableColumn>
    <tableColumn id="9" xr3:uid="{2D5D4BD5-DD77-42D8-AF92-218812B86DCD}" name="RETE ICA?" dataDxfId="21" totalsRowDxfId="5"/>
    <tableColumn id="10" xr3:uid="{9FEECA8B-F34D-4ED7-B9CE-6F034E1716C4}" name="% De Retencion2" dataDxfId="20" totalsRowDxfId="4"/>
    <tableColumn id="11" xr3:uid="{4881FECB-90C2-45B4-9948-3BD5D615BF0D}" name="VALOR DE RETE ICA" totalsRowFunction="sum" dataDxfId="19" totalsRowDxfId="3"/>
    <tableColumn id="12" xr3:uid="{B0BFC958-60E3-4872-A2AA-60809D90A8FC}" name="Monto a cancelar en Caja" totalsRowFunction="sum" dataDxfId="18" totalsRowDxfId="2"/>
    <tableColumn id="13" xr3:uid="{BA03B369-7901-449C-AE2A-A2AF1D7D71C0}" name="Columna4" dataDxfId="17" totalsRowDxfId="1"/>
    <tableColumn id="14" xr3:uid="{DFE7A01B-DB43-4400-9758-896B21D6CCC0}" name="Impuesto por factura" totalsRowFunction="sum" dataDxfId="16" totalsRow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4EA91-DF07-4B0A-9675-4358BFE71FDE}">
  <dimension ref="A1:C6"/>
  <sheetViews>
    <sheetView workbookViewId="0">
      <selection activeCell="B6" sqref="B6"/>
    </sheetView>
  </sheetViews>
  <sheetFormatPr baseColWidth="10" defaultColWidth="11.42578125" defaultRowHeight="15" x14ac:dyDescent="0.25"/>
  <cols>
    <col min="2" max="2" width="20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>
        <v>1124848579</v>
      </c>
    </row>
    <row r="4" spans="1:3" x14ac:dyDescent="0.25">
      <c r="A4">
        <v>3</v>
      </c>
      <c r="B4" t="s">
        <v>6</v>
      </c>
      <c r="C4" t="s">
        <v>7</v>
      </c>
    </row>
    <row r="5" spans="1:3" x14ac:dyDescent="0.25">
      <c r="A5">
        <v>4</v>
      </c>
      <c r="B5" t="s">
        <v>8</v>
      </c>
      <c r="C5" t="s">
        <v>9</v>
      </c>
    </row>
    <row r="6" spans="1:3" x14ac:dyDescent="0.25">
      <c r="A6">
        <v>5</v>
      </c>
      <c r="B6" t="s">
        <v>10</v>
      </c>
      <c r="C6">
        <v>1126456991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E31F8-4F4A-4522-8F95-4C396DD931D1}">
  <dimension ref="B1:G15"/>
  <sheetViews>
    <sheetView workbookViewId="0">
      <selection activeCell="C17" sqref="C17"/>
    </sheetView>
  </sheetViews>
  <sheetFormatPr baseColWidth="10" defaultColWidth="11.42578125" defaultRowHeight="15" x14ac:dyDescent="0.25"/>
  <cols>
    <col min="2" max="2" width="12.5703125" bestFit="1" customWidth="1"/>
    <col min="3" max="3" width="22.28515625" bestFit="1" customWidth="1"/>
    <col min="5" max="5" width="19.85546875" customWidth="1"/>
    <col min="6" max="6" width="11.85546875" bestFit="1" customWidth="1"/>
    <col min="7" max="7" width="16.140625" bestFit="1" customWidth="1"/>
  </cols>
  <sheetData>
    <row r="1" spans="2:7" ht="17.25" x14ac:dyDescent="0.35">
      <c r="B1" s="191" t="s">
        <v>11</v>
      </c>
      <c r="C1" s="192"/>
      <c r="D1" s="192"/>
      <c r="E1" s="193"/>
    </row>
    <row r="2" spans="2:7" ht="18" thickBot="1" x14ac:dyDescent="0.4">
      <c r="B2" s="70" t="s">
        <v>12</v>
      </c>
      <c r="C2" s="71" t="s">
        <v>5</v>
      </c>
      <c r="D2" s="71" t="s">
        <v>13</v>
      </c>
      <c r="E2" s="72">
        <v>2024</v>
      </c>
    </row>
    <row r="3" spans="2:7" ht="18" thickBot="1" x14ac:dyDescent="0.4">
      <c r="B3" s="73"/>
      <c r="C3" s="73"/>
      <c r="D3" s="73"/>
      <c r="E3" s="73"/>
    </row>
    <row r="4" spans="2:7" ht="15.75" x14ac:dyDescent="0.25">
      <c r="B4" s="74" t="s">
        <v>14</v>
      </c>
      <c r="C4" s="75" t="s">
        <v>15</v>
      </c>
      <c r="D4" s="75" t="s">
        <v>16</v>
      </c>
      <c r="E4" s="76" t="s">
        <v>17</v>
      </c>
    </row>
    <row r="5" spans="2:7" ht="15.75" x14ac:dyDescent="0.25">
      <c r="B5" s="77" t="s">
        <v>18</v>
      </c>
      <c r="C5" s="78" t="e">
        <f>SUMIFS(#REF!,#REF!,Certificado!$C$2,#REF!,"APLICA",#REF!,"2,50%")</f>
        <v>#REF!</v>
      </c>
      <c r="D5" s="79">
        <f>'ret. fuente 2025 enero junio'!D2</f>
        <v>2.5000000000000001E-2</v>
      </c>
      <c r="E5" s="80" t="e">
        <f>SUMIFS(#REF!,#REF!,Certificado!$C$2,#REF!,"APLICA",#REF!,"2,50%")</f>
        <v>#REF!</v>
      </c>
    </row>
    <row r="6" spans="2:7" ht="16.5" thickBot="1" x14ac:dyDescent="0.3">
      <c r="B6" s="81" t="s">
        <v>19</v>
      </c>
      <c r="C6" s="82" t="e">
        <f>SUMIFS(#REF!,#REF!,Certificado!$C$2,#REF!,"APLICA",#REF!,"1%")</f>
        <v>#REF!</v>
      </c>
      <c r="D6" s="83">
        <f>'ret. fuente 2025 enero junio'!D19</f>
        <v>0.01</v>
      </c>
      <c r="E6" s="84" t="e">
        <f>SUMIFS(#REF!,#REF!,Certificado!$C$2,#REF!,"APLICA",#REF!,"1%")</f>
        <v>#REF!</v>
      </c>
    </row>
    <row r="7" spans="2:7" ht="18" thickBot="1" x14ac:dyDescent="0.4">
      <c r="B7" s="73"/>
      <c r="C7" s="73"/>
      <c r="D7" s="73"/>
      <c r="E7" s="73"/>
    </row>
    <row r="8" spans="2:7" ht="18" thickBot="1" x14ac:dyDescent="0.4">
      <c r="B8" s="194" t="s">
        <v>20</v>
      </c>
      <c r="C8" s="195"/>
      <c r="D8" s="195"/>
      <c r="E8" s="196"/>
    </row>
    <row r="9" spans="2:7" ht="18" thickBot="1" x14ac:dyDescent="0.4">
      <c r="B9" s="73"/>
      <c r="C9" s="73"/>
      <c r="D9" s="73"/>
      <c r="E9" s="73"/>
    </row>
    <row r="10" spans="2:7" ht="15.75" x14ac:dyDescent="0.25">
      <c r="B10" s="74" t="s">
        <v>14</v>
      </c>
      <c r="C10" s="75" t="s">
        <v>15</v>
      </c>
      <c r="D10" s="75" t="s">
        <v>16</v>
      </c>
      <c r="E10" s="76" t="s">
        <v>17</v>
      </c>
    </row>
    <row r="11" spans="2:7" ht="15.75" x14ac:dyDescent="0.25">
      <c r="B11" s="77" t="s">
        <v>18</v>
      </c>
      <c r="C11" s="78" t="e">
        <f>SUMIFS(#REF!,#REF!,Certificado!$C$2,#REF!,"APLICA",#REF!,"0,50%")</f>
        <v>#REF!</v>
      </c>
      <c r="D11" s="79">
        <f>'ret. ICA 2025 enero junio'!D2</f>
        <v>6.0000000000000001E-3</v>
      </c>
      <c r="E11" s="80" t="e">
        <f>SUMIFS(#REF!,#REF!,Certificado!$C$2,#REF!,"APLICA",#REF!,"0,50%")</f>
        <v>#REF!</v>
      </c>
    </row>
    <row r="12" spans="2:7" ht="16.5" thickBot="1" x14ac:dyDescent="0.3">
      <c r="B12" s="81" t="s">
        <v>19</v>
      </c>
      <c r="C12" s="82" t="e">
        <f>SUMIFS(#REF!,#REF!,Certificado!$C$2,#REF!,"APLICA",#REF!,"1%")</f>
        <v>#REF!</v>
      </c>
      <c r="D12" s="83">
        <f>'ret. ICA 2025 enero junio'!D3</f>
        <v>0.01</v>
      </c>
      <c r="E12" s="84" t="e">
        <f>SUMIFS(#REF!,#REF!,Certificado!$C$2,#REF!,"APLICA",#REF!,"1%")</f>
        <v>#REF!</v>
      </c>
    </row>
    <row r="13" spans="2:7" ht="18" thickBot="1" x14ac:dyDescent="0.4">
      <c r="B13" s="73"/>
      <c r="C13" s="73"/>
      <c r="D13" s="73"/>
      <c r="E13" s="73"/>
    </row>
    <row r="14" spans="2:7" ht="18" thickBot="1" x14ac:dyDescent="0.4">
      <c r="B14" s="73"/>
      <c r="C14" s="73"/>
      <c r="D14" s="73"/>
      <c r="E14" s="73"/>
      <c r="G14" s="86" t="s">
        <v>21</v>
      </c>
    </row>
    <row r="15" spans="2:7" ht="15.75" thickBot="1" x14ac:dyDescent="0.3">
      <c r="E15" s="88" t="e">
        <f>SUM(E12+E11+E6+E5)</f>
        <v>#REF!</v>
      </c>
      <c r="G15" s="87" t="e">
        <f>#REF!</f>
        <v>#REF!</v>
      </c>
    </row>
  </sheetData>
  <mergeCells count="2">
    <mergeCell ref="B1:E1"/>
    <mergeCell ref="B8:E8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5376950-1602-4521-9FF4-D8C533F5B024}">
          <x14:formula1>
            <xm:f>Proveedores!$B$2:$B$9</xm:f>
          </x14:formula1>
          <xm:sqref>C2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7D4AA-2E2E-4081-9B9D-645E92F5E9A3}">
  <dimension ref="A1:F51"/>
  <sheetViews>
    <sheetView topLeftCell="A34" zoomScale="70" zoomScaleNormal="70" workbookViewId="0">
      <selection activeCell="H11" sqref="H11"/>
    </sheetView>
  </sheetViews>
  <sheetFormatPr baseColWidth="10" defaultColWidth="11.42578125" defaultRowHeight="15" x14ac:dyDescent="0.25"/>
  <cols>
    <col min="1" max="1" width="51.140625" style="4" customWidth="1"/>
    <col min="2" max="2" width="30.42578125" customWidth="1"/>
    <col min="3" max="3" width="33" customWidth="1"/>
    <col min="4" max="4" width="28.85546875" customWidth="1"/>
    <col min="6" max="6" width="14.85546875" bestFit="1" customWidth="1"/>
  </cols>
  <sheetData>
    <row r="1" spans="1:6" ht="18.75" thickBot="1" x14ac:dyDescent="0.3">
      <c r="A1" s="11" t="s">
        <v>22</v>
      </c>
      <c r="B1" s="12" t="s">
        <v>23</v>
      </c>
      <c r="C1" s="12" t="s">
        <v>24</v>
      </c>
      <c r="D1" s="13" t="s">
        <v>25</v>
      </c>
      <c r="F1" t="s">
        <v>26</v>
      </c>
    </row>
    <row r="2" spans="1:6" ht="17.25" thickBot="1" x14ac:dyDescent="0.3">
      <c r="A2" s="8" t="s">
        <v>27</v>
      </c>
      <c r="B2" s="1">
        <v>27</v>
      </c>
      <c r="C2" s="2">
        <v>498000</v>
      </c>
      <c r="D2" s="9">
        <v>2.5000000000000001E-2</v>
      </c>
      <c r="F2" s="89">
        <v>49799</v>
      </c>
    </row>
    <row r="3" spans="1:6" ht="17.25" thickBot="1" x14ac:dyDescent="0.3">
      <c r="A3" s="8" t="s">
        <v>28</v>
      </c>
      <c r="B3" s="1">
        <v>27</v>
      </c>
      <c r="C3" s="2">
        <v>498000</v>
      </c>
      <c r="D3" s="9">
        <v>3.5000000000000003E-2</v>
      </c>
    </row>
    <row r="4" spans="1:6" ht="17.25" thickBot="1" x14ac:dyDescent="0.3">
      <c r="A4" s="8" t="s">
        <v>29</v>
      </c>
      <c r="B4" s="1">
        <v>0</v>
      </c>
      <c r="C4" s="2">
        <f>retfuente4[[#This Row],[Base mínima en UVT]]*$F$2</f>
        <v>0</v>
      </c>
      <c r="D4" s="9">
        <v>1.4999999999999999E-2</v>
      </c>
    </row>
    <row r="5" spans="1:6" ht="33.75" thickBot="1" x14ac:dyDescent="0.3">
      <c r="A5" s="8" t="s">
        <v>30</v>
      </c>
      <c r="B5" s="1">
        <v>92</v>
      </c>
      <c r="C5" s="2">
        <f>retfuente4[[#This Row],[Base mínima en UVT]]*$F$2</f>
        <v>4581508</v>
      </c>
      <c r="D5" s="9">
        <v>1.4999999999999999E-2</v>
      </c>
    </row>
    <row r="6" spans="1:6" ht="50.25" thickBot="1" x14ac:dyDescent="0.3">
      <c r="A6" s="8" t="s">
        <v>31</v>
      </c>
      <c r="B6" s="1">
        <v>27</v>
      </c>
      <c r="C6" s="2">
        <f>retfuente4[[#This Row],[Base mínima en UVT]]*$F$2</f>
        <v>1344573</v>
      </c>
      <c r="D6" s="9">
        <v>2.5000000000000001E-2</v>
      </c>
    </row>
    <row r="7" spans="1:6" ht="50.25" thickBot="1" x14ac:dyDescent="0.3">
      <c r="A7" s="8" t="s">
        <v>32</v>
      </c>
      <c r="B7" s="1">
        <v>27</v>
      </c>
      <c r="C7" s="2">
        <f>retfuente4[[#This Row],[Base mínima en UVT]]*$F$2</f>
        <v>1344573</v>
      </c>
      <c r="D7" s="9">
        <v>3.5000000000000003E-2</v>
      </c>
    </row>
    <row r="8" spans="1:6" ht="17.25" thickBot="1" x14ac:dyDescent="0.3">
      <c r="A8" s="8" t="s">
        <v>33</v>
      </c>
      <c r="B8" s="1">
        <v>160</v>
      </c>
      <c r="C8" s="2">
        <f>retfuente4[[#This Row],[Base mínima en UVT]]*$F$2</f>
        <v>7967840</v>
      </c>
      <c r="D8" s="9">
        <v>5.0000000000000001E-3</v>
      </c>
    </row>
    <row r="9" spans="1:6" ht="33.75" thickBot="1" x14ac:dyDescent="0.3">
      <c r="A9" s="8" t="s">
        <v>34</v>
      </c>
      <c r="B9" s="1">
        <v>0</v>
      </c>
      <c r="C9" s="2">
        <f>retfuente4[[#This Row],[Base mínima en UVT]]*$F$2</f>
        <v>0</v>
      </c>
      <c r="D9" s="9">
        <v>1E-3</v>
      </c>
    </row>
    <row r="10" spans="1:6" ht="50.25" thickBot="1" x14ac:dyDescent="0.3">
      <c r="A10" s="8" t="s">
        <v>35</v>
      </c>
      <c r="B10" s="1">
        <v>0</v>
      </c>
      <c r="C10" s="2">
        <f>retfuente4[[#This Row],[Base mínima en UVT]]*$F$2</f>
        <v>0</v>
      </c>
      <c r="D10" s="10">
        <v>0.01</v>
      </c>
    </row>
    <row r="11" spans="1:6" ht="17.25" thickBot="1" x14ac:dyDescent="0.3">
      <c r="A11" s="8" t="s">
        <v>36</v>
      </c>
      <c r="B11" s="1">
        <v>0</v>
      </c>
      <c r="C11" s="2">
        <f>retfuente4[[#This Row],[Base mínima en UVT]]*$F$2</f>
        <v>0</v>
      </c>
      <c r="D11" s="10">
        <v>0.01</v>
      </c>
    </row>
    <row r="12" spans="1:6" ht="66.75" thickBot="1" x14ac:dyDescent="0.3">
      <c r="A12" s="8" t="s">
        <v>37</v>
      </c>
      <c r="B12" s="1">
        <v>0</v>
      </c>
      <c r="C12" s="2">
        <f>retfuente4[[#This Row],[Base mínima en UVT]]*$F$2</f>
        <v>0</v>
      </c>
      <c r="D12" s="10">
        <v>0.01</v>
      </c>
    </row>
    <row r="13" spans="1:6" ht="66.75" thickBot="1" x14ac:dyDescent="0.3">
      <c r="A13" s="8" t="s">
        <v>38</v>
      </c>
      <c r="B13" s="3">
        <v>20000</v>
      </c>
      <c r="C13" s="2">
        <f>retfuente4[[#This Row],[Base mínima en UVT]]*$F$2</f>
        <v>995980000</v>
      </c>
      <c r="D13" s="9">
        <v>2.5000000000000001E-2</v>
      </c>
    </row>
    <row r="14" spans="1:6" ht="33.75" thickBot="1" x14ac:dyDescent="0.3">
      <c r="A14" s="8" t="s">
        <v>39</v>
      </c>
      <c r="B14" s="1">
        <v>0</v>
      </c>
      <c r="C14" s="2">
        <f>retfuente4[[#This Row],[Base mínima en UVT]]*$F$2</f>
        <v>0</v>
      </c>
      <c r="D14" s="9">
        <v>2.5000000000000001E-2</v>
      </c>
    </row>
    <row r="15" spans="1:6" ht="17.25" thickBot="1" x14ac:dyDescent="0.3">
      <c r="A15" s="8" t="s">
        <v>40</v>
      </c>
      <c r="B15" s="1">
        <v>4</v>
      </c>
      <c r="C15" s="2">
        <v>100000</v>
      </c>
      <c r="D15" s="10">
        <v>0.04</v>
      </c>
    </row>
    <row r="16" spans="1:6" ht="17.25" thickBot="1" x14ac:dyDescent="0.3">
      <c r="A16" s="8" t="s">
        <v>41</v>
      </c>
      <c r="B16" s="1">
        <v>4</v>
      </c>
      <c r="C16" s="2">
        <v>100000</v>
      </c>
      <c r="D16" s="10">
        <v>0.06</v>
      </c>
    </row>
    <row r="17" spans="1:4" ht="39.75" customHeight="1" thickBot="1" x14ac:dyDescent="0.3">
      <c r="A17" s="8" t="s">
        <v>42</v>
      </c>
      <c r="B17" s="1">
        <v>27</v>
      </c>
      <c r="C17" s="2">
        <f>retfuente4[[#This Row],[Base mínima en UVT]]*$F$2</f>
        <v>1344573</v>
      </c>
      <c r="D17" s="10">
        <v>0.04</v>
      </c>
    </row>
    <row r="18" spans="1:4" ht="33.75" thickBot="1" x14ac:dyDescent="0.3">
      <c r="A18" s="8" t="s">
        <v>43</v>
      </c>
      <c r="B18" s="1">
        <v>27</v>
      </c>
      <c r="C18" s="2">
        <f>retfuente4[[#This Row],[Base mínima en UVT]]*$F$2</f>
        <v>1344573</v>
      </c>
      <c r="D18" s="9">
        <v>3.5000000000000003E-2</v>
      </c>
    </row>
    <row r="19" spans="1:4" ht="17.25" thickBot="1" x14ac:dyDescent="0.3">
      <c r="A19" s="8" t="s">
        <v>44</v>
      </c>
      <c r="B19" s="1">
        <v>4</v>
      </c>
      <c r="C19" s="2">
        <f>retfuente4[[#This Row],[Base mínima en UVT]]*$F$2</f>
        <v>199196</v>
      </c>
      <c r="D19" s="10">
        <v>0.01</v>
      </c>
    </row>
    <row r="20" spans="1:4" ht="33.75" thickBot="1" x14ac:dyDescent="0.3">
      <c r="A20" s="8" t="s">
        <v>45</v>
      </c>
      <c r="B20" s="1">
        <v>27</v>
      </c>
      <c r="C20" s="2">
        <f>retfuente4[[#This Row],[Base mínima en UVT]]*$F$2</f>
        <v>1344573</v>
      </c>
      <c r="D20" s="9">
        <v>3.5000000000000003E-2</v>
      </c>
    </row>
    <row r="21" spans="1:4" ht="33.75" thickBot="1" x14ac:dyDescent="0.3">
      <c r="A21" s="8" t="s">
        <v>46</v>
      </c>
      <c r="B21" s="1">
        <v>27</v>
      </c>
      <c r="C21" s="2">
        <f>retfuente4[[#This Row],[Base mínima en UVT]]*$F$2</f>
        <v>1344573</v>
      </c>
      <c r="D21" s="9">
        <v>3.5000000000000003E-2</v>
      </c>
    </row>
    <row r="22" spans="1:4" ht="33.75" thickBot="1" x14ac:dyDescent="0.3">
      <c r="A22" s="8" t="s">
        <v>47</v>
      </c>
      <c r="B22" s="1">
        <v>4</v>
      </c>
      <c r="C22" s="2">
        <f>retfuente4[[#This Row],[Base mínima en UVT]]*$F$2</f>
        <v>199196</v>
      </c>
      <c r="D22" s="10">
        <v>0.01</v>
      </c>
    </row>
    <row r="23" spans="1:4" ht="33.75" thickBot="1" x14ac:dyDescent="0.3">
      <c r="A23" s="8" t="s">
        <v>48</v>
      </c>
      <c r="B23" s="1">
        <v>4</v>
      </c>
      <c r="C23" s="2">
        <f>retfuente4[[#This Row],[Base mínima en UVT]]*$F$2</f>
        <v>199196</v>
      </c>
      <c r="D23" s="10">
        <v>0.01</v>
      </c>
    </row>
    <row r="24" spans="1:4" ht="33.75" thickBot="1" x14ac:dyDescent="0.3">
      <c r="A24" s="8" t="s">
        <v>49</v>
      </c>
      <c r="B24" s="1">
        <v>4</v>
      </c>
      <c r="C24" s="2">
        <f>retfuente4[[#This Row],[Base mínima en UVT]]*$F$2</f>
        <v>199196</v>
      </c>
      <c r="D24" s="10">
        <v>0.02</v>
      </c>
    </row>
    <row r="25" spans="1:4" ht="33.75" thickBot="1" x14ac:dyDescent="0.3">
      <c r="A25" s="8" t="s">
        <v>50</v>
      </c>
      <c r="B25" s="1">
        <v>4</v>
      </c>
      <c r="C25" s="2">
        <f>retfuente4[[#This Row],[Base mínima en UVT]]*$F$2</f>
        <v>199196</v>
      </c>
      <c r="D25" s="10">
        <v>0.02</v>
      </c>
    </row>
    <row r="26" spans="1:4" ht="33.75" thickBot="1" x14ac:dyDescent="0.3">
      <c r="A26" s="8" t="s">
        <v>51</v>
      </c>
      <c r="B26" s="1">
        <v>4</v>
      </c>
      <c r="C26" s="2">
        <f>retfuente4[[#This Row],[Base mínima en UVT]]*$F$2</f>
        <v>199196</v>
      </c>
      <c r="D26" s="9">
        <v>3.5000000000000003E-2</v>
      </c>
    </row>
    <row r="27" spans="1:4" ht="33.75" thickBot="1" x14ac:dyDescent="0.3">
      <c r="A27" s="8" t="s">
        <v>52</v>
      </c>
      <c r="B27" s="1">
        <v>4</v>
      </c>
      <c r="C27" s="2">
        <f>retfuente4[[#This Row],[Base mínima en UVT]]*$F$2</f>
        <v>199196</v>
      </c>
      <c r="D27" s="9">
        <v>3.5000000000000003E-2</v>
      </c>
    </row>
    <row r="28" spans="1:4" ht="17.25" thickBot="1" x14ac:dyDescent="0.3">
      <c r="A28" s="8" t="s">
        <v>53</v>
      </c>
      <c r="B28" s="1">
        <v>0</v>
      </c>
      <c r="C28" s="2">
        <f>retfuente4[[#This Row],[Base mínima en UVT]]*$F$2</f>
        <v>0</v>
      </c>
      <c r="D28" s="10">
        <v>0.04</v>
      </c>
    </row>
    <row r="29" spans="1:4" ht="33.75" thickBot="1" x14ac:dyDescent="0.3">
      <c r="A29" s="8" t="s">
        <v>54</v>
      </c>
      <c r="B29" s="1">
        <v>27</v>
      </c>
      <c r="C29" s="2">
        <f>retfuente4[[#This Row],[Base mínima en UVT]]*$F$2</f>
        <v>1344573</v>
      </c>
      <c r="D29" s="9">
        <v>3.5000000000000003E-2</v>
      </c>
    </row>
    <row r="30" spans="1:4" ht="33.75" thickBot="1" x14ac:dyDescent="0.3">
      <c r="A30" s="8" t="s">
        <v>55</v>
      </c>
      <c r="B30" s="1">
        <v>27</v>
      </c>
      <c r="C30" s="2">
        <f>retfuente4[[#This Row],[Base mínima en UVT]]*$F$2</f>
        <v>1344573</v>
      </c>
      <c r="D30" s="9">
        <v>3.5000000000000003E-2</v>
      </c>
    </row>
    <row r="31" spans="1:4" ht="17.25" thickBot="1" x14ac:dyDescent="0.3">
      <c r="A31" s="8" t="s">
        <v>56</v>
      </c>
      <c r="B31" s="1">
        <v>27</v>
      </c>
      <c r="C31" s="2">
        <f>retfuente4[[#This Row],[Base mínima en UVT]]*$F$2</f>
        <v>1344573</v>
      </c>
      <c r="D31" s="9">
        <v>2.5000000000000001E-2</v>
      </c>
    </row>
    <row r="32" spans="1:4" ht="17.25" thickBot="1" x14ac:dyDescent="0.3">
      <c r="A32" s="8" t="s">
        <v>57</v>
      </c>
      <c r="B32" s="1">
        <v>27</v>
      </c>
      <c r="C32" s="2">
        <f>retfuente4[[#This Row],[Base mínima en UVT]]*$F$2</f>
        <v>1344573</v>
      </c>
      <c r="D32" s="9">
        <v>3.5000000000000003E-2</v>
      </c>
    </row>
    <row r="33" spans="1:4" ht="17.25" thickBot="1" x14ac:dyDescent="0.3">
      <c r="A33" s="8" t="s">
        <v>58</v>
      </c>
      <c r="B33" s="1">
        <v>0</v>
      </c>
      <c r="C33" s="2">
        <f>retfuente4[[#This Row],[Base mínima en UVT]]*$F$2</f>
        <v>0</v>
      </c>
      <c r="D33" s="10">
        <v>0.11</v>
      </c>
    </row>
    <row r="34" spans="1:4" ht="83.25" thickBot="1" x14ac:dyDescent="0.3">
      <c r="A34" s="8" t="s">
        <v>59</v>
      </c>
      <c r="B34" s="1">
        <v>0</v>
      </c>
      <c r="C34" s="2">
        <f>retfuente4[[#This Row],[Base mínima en UVT]]*$F$2</f>
        <v>0</v>
      </c>
      <c r="D34" s="10">
        <v>0.11</v>
      </c>
    </row>
    <row r="35" spans="1:4" ht="17.25" thickBot="1" x14ac:dyDescent="0.3">
      <c r="A35" s="8" t="s">
        <v>60</v>
      </c>
      <c r="B35" s="1">
        <v>0</v>
      </c>
      <c r="C35" s="2">
        <f>retfuente4[[#This Row],[Base mínima en UVT]]*$F$2</f>
        <v>0</v>
      </c>
      <c r="D35" s="10">
        <v>0.1</v>
      </c>
    </row>
    <row r="36" spans="1:4" ht="33.75" thickBot="1" x14ac:dyDescent="0.3">
      <c r="A36" s="8" t="s">
        <v>61</v>
      </c>
      <c r="B36" s="1">
        <v>0</v>
      </c>
      <c r="C36" s="2">
        <f>retfuente4[[#This Row],[Base mínima en UVT]]*$F$2</f>
        <v>0</v>
      </c>
      <c r="D36" s="9">
        <v>3.5000000000000003E-2</v>
      </c>
    </row>
    <row r="37" spans="1:4" ht="17.25" thickBot="1" x14ac:dyDescent="0.3">
      <c r="A37" s="8" t="s">
        <v>62</v>
      </c>
      <c r="B37" s="1">
        <v>0</v>
      </c>
      <c r="C37" s="2">
        <f>retfuente4[[#This Row],[Base mínima en UVT]]*$F$2</f>
        <v>0</v>
      </c>
      <c r="D37" s="10">
        <v>7.0000000000000007E-2</v>
      </c>
    </row>
    <row r="38" spans="1:4" ht="33.75" thickBot="1" x14ac:dyDescent="0.3">
      <c r="A38" s="8" t="s">
        <v>63</v>
      </c>
      <c r="B38" s="1">
        <v>0</v>
      </c>
      <c r="C38" s="2">
        <f>retfuente4[[#This Row],[Base mínima en UVT]]*$F$2</f>
        <v>0</v>
      </c>
      <c r="D38" s="10">
        <v>0.04</v>
      </c>
    </row>
    <row r="39" spans="1:4" ht="17.25" thickBot="1" x14ac:dyDescent="0.3">
      <c r="A39" s="8" t="s">
        <v>64</v>
      </c>
      <c r="B39" s="1">
        <v>48</v>
      </c>
      <c r="C39" s="2">
        <f>retfuente4[[#This Row],[Base mínima en UVT]]*$F$2</f>
        <v>2390352</v>
      </c>
      <c r="D39" s="10">
        <v>0.2</v>
      </c>
    </row>
    <row r="40" spans="1:4" ht="33.75" thickBot="1" x14ac:dyDescent="0.3">
      <c r="A40" s="8" t="s">
        <v>65</v>
      </c>
      <c r="B40" s="1">
        <v>5</v>
      </c>
      <c r="C40" s="2">
        <f>retfuente4[[#This Row],[Base mínima en UVT]]*$F$2</f>
        <v>248995</v>
      </c>
      <c r="D40" s="10">
        <v>0.03</v>
      </c>
    </row>
    <row r="41" spans="1:4" ht="17.25" thickBot="1" x14ac:dyDescent="0.3">
      <c r="A41" s="8" t="s">
        <v>66</v>
      </c>
      <c r="B41" s="1">
        <v>27</v>
      </c>
      <c r="C41" s="2">
        <f>retfuente4[[#This Row],[Base mínima en UVT]]*$F$2</f>
        <v>1344573</v>
      </c>
      <c r="D41" s="10">
        <v>0.02</v>
      </c>
    </row>
    <row r="42" spans="1:4" ht="17.25" thickBot="1" x14ac:dyDescent="0.3">
      <c r="A42" s="8" t="s">
        <v>67</v>
      </c>
      <c r="B42" s="1">
        <v>4</v>
      </c>
      <c r="C42" s="2">
        <f>retfuente4[[#This Row],[Base mínima en UVT]]*$F$2</f>
        <v>199196</v>
      </c>
      <c r="D42" s="10">
        <v>0.15</v>
      </c>
    </row>
    <row r="43" spans="1:4" ht="17.25" thickBot="1" x14ac:dyDescent="0.3">
      <c r="A43" s="8" t="s">
        <v>68</v>
      </c>
      <c r="B43" s="1">
        <v>27</v>
      </c>
      <c r="C43" s="2">
        <f>retfuente4[[#This Row],[Base mínima en UVT]]*$F$2</f>
        <v>1344573</v>
      </c>
      <c r="D43" s="10">
        <v>0.15</v>
      </c>
    </row>
    <row r="44" spans="1:4" ht="33" customHeight="1" thickBot="1" x14ac:dyDescent="0.3">
      <c r="A44" s="7" t="s">
        <v>69</v>
      </c>
      <c r="B44" s="7"/>
      <c r="C44" s="2"/>
      <c r="D44" s="7"/>
    </row>
    <row r="45" spans="1:4" ht="149.25" thickBot="1" x14ac:dyDescent="0.3">
      <c r="A45" s="8" t="s">
        <v>70</v>
      </c>
      <c r="B45" s="1">
        <v>0</v>
      </c>
      <c r="C45" s="2">
        <f>retfuente4[[#This Row],[Base mínima en UVT]]*$F$2</f>
        <v>0</v>
      </c>
      <c r="D45" s="10">
        <v>0.2</v>
      </c>
    </row>
    <row r="46" spans="1:4" ht="66.75" thickBot="1" x14ac:dyDescent="0.3">
      <c r="A46" s="8" t="s">
        <v>71</v>
      </c>
      <c r="B46" s="1">
        <v>0</v>
      </c>
      <c r="C46" s="2">
        <f>retfuente4[[#This Row],[Base mínima en UVT]]*$F$2</f>
        <v>0</v>
      </c>
      <c r="D46" s="10">
        <v>0.2</v>
      </c>
    </row>
    <row r="47" spans="1:4" ht="182.25" thickBot="1" x14ac:dyDescent="0.3">
      <c r="A47" s="8" t="s">
        <v>72</v>
      </c>
      <c r="B47" s="1">
        <v>0</v>
      </c>
      <c r="C47" s="2">
        <f>retfuente4[[#This Row],[Base mínima en UVT]]*$F$2</f>
        <v>0</v>
      </c>
      <c r="D47" s="10">
        <v>0.15</v>
      </c>
    </row>
    <row r="48" spans="1:4" ht="99.75" thickBot="1" x14ac:dyDescent="0.3">
      <c r="A48" s="8" t="s">
        <v>73</v>
      </c>
      <c r="B48" s="1">
        <v>0</v>
      </c>
      <c r="C48" s="2">
        <f>retfuente4[[#This Row],[Base mínima en UVT]]*$F$2</f>
        <v>0</v>
      </c>
      <c r="D48" s="10">
        <v>0.01</v>
      </c>
    </row>
    <row r="49" spans="1:4" ht="149.25" thickBot="1" x14ac:dyDescent="0.3">
      <c r="A49" s="8" t="s">
        <v>74</v>
      </c>
      <c r="B49" s="1">
        <v>0</v>
      </c>
      <c r="C49" s="2">
        <f>retfuente4[[#This Row],[Base mínima en UVT]]*$F$2</f>
        <v>0</v>
      </c>
      <c r="D49" s="10">
        <v>0.05</v>
      </c>
    </row>
    <row r="50" spans="1:4" ht="66.75" thickBot="1" x14ac:dyDescent="0.3">
      <c r="A50" s="8" t="s">
        <v>75</v>
      </c>
      <c r="B50" s="1">
        <v>0</v>
      </c>
      <c r="C50" s="2">
        <f>retfuente4[[#This Row],[Base mínima en UVT]]*$F$2</f>
        <v>0</v>
      </c>
      <c r="D50" s="10">
        <v>0.01</v>
      </c>
    </row>
    <row r="51" spans="1:4" ht="83.25" thickBot="1" x14ac:dyDescent="0.3">
      <c r="A51" s="14" t="s">
        <v>76</v>
      </c>
      <c r="B51" s="15">
        <v>0</v>
      </c>
      <c r="C51" s="2">
        <f>retfuente4[[#This Row],[Base mínima en UVT]]*$F$2</f>
        <v>0</v>
      </c>
      <c r="D51" s="16">
        <v>0.33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DD0A0-DD0A-4D4E-A8E7-995CEF988B1D}">
  <dimension ref="A1:D3"/>
  <sheetViews>
    <sheetView workbookViewId="0">
      <selection activeCell="E28" sqref="E28"/>
    </sheetView>
  </sheetViews>
  <sheetFormatPr baseColWidth="10" defaultColWidth="11.42578125" defaultRowHeight="15" x14ac:dyDescent="0.25"/>
  <cols>
    <col min="1" max="1" width="34.42578125" customWidth="1"/>
    <col min="2" max="2" width="30.42578125" customWidth="1"/>
    <col min="3" max="3" width="33" customWidth="1"/>
    <col min="4" max="4" width="28.85546875" customWidth="1"/>
  </cols>
  <sheetData>
    <row r="1" spans="1:4" ht="18.75" thickBot="1" x14ac:dyDescent="0.3">
      <c r="A1" s="12" t="s">
        <v>22</v>
      </c>
      <c r="B1" s="12" t="s">
        <v>23</v>
      </c>
      <c r="C1" s="12" t="s">
        <v>24</v>
      </c>
      <c r="D1" s="12" t="s">
        <v>25</v>
      </c>
    </row>
    <row r="2" spans="1:4" x14ac:dyDescent="0.25">
      <c r="A2" t="s">
        <v>77</v>
      </c>
      <c r="B2">
        <v>10</v>
      </c>
      <c r="C2" s="90">
        <v>498000</v>
      </c>
      <c r="D2" s="6">
        <v>6.0000000000000001E-3</v>
      </c>
    </row>
    <row r="3" spans="1:4" x14ac:dyDescent="0.25">
      <c r="A3" t="s">
        <v>78</v>
      </c>
      <c r="B3">
        <v>10</v>
      </c>
      <c r="C3" s="90">
        <v>498000</v>
      </c>
      <c r="D3" s="5">
        <v>0.01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zoomScale="70" zoomScaleNormal="70" workbookViewId="0">
      <selection activeCell="C54" sqref="C54"/>
    </sheetView>
  </sheetViews>
  <sheetFormatPr baseColWidth="10" defaultColWidth="11.42578125" defaultRowHeight="15" x14ac:dyDescent="0.25"/>
  <cols>
    <col min="1" max="1" width="51.140625" style="4" customWidth="1"/>
    <col min="2" max="2" width="30.42578125" customWidth="1"/>
    <col min="3" max="3" width="33" customWidth="1"/>
    <col min="4" max="4" width="28.85546875" customWidth="1"/>
    <col min="6" max="6" width="14.85546875" bestFit="1" customWidth="1"/>
  </cols>
  <sheetData>
    <row r="1" spans="1:6" ht="18.75" thickBot="1" x14ac:dyDescent="0.3">
      <c r="A1" s="11" t="s">
        <v>22</v>
      </c>
      <c r="B1" s="12" t="s">
        <v>23</v>
      </c>
      <c r="C1" s="12" t="s">
        <v>24</v>
      </c>
      <c r="D1" s="13" t="s">
        <v>25</v>
      </c>
      <c r="F1" t="s">
        <v>26</v>
      </c>
    </row>
    <row r="2" spans="1:6" ht="17.25" thickBot="1" x14ac:dyDescent="0.3">
      <c r="A2" s="8" t="s">
        <v>27</v>
      </c>
      <c r="B2" s="1">
        <v>27</v>
      </c>
      <c r="C2" s="2">
        <f>retfuente[[#This Row],[Base mínima en UVT]]*$F$2</f>
        <v>1344573</v>
      </c>
      <c r="D2" s="9">
        <v>2.5000000000000001E-2</v>
      </c>
      <c r="F2" s="89">
        <v>49799</v>
      </c>
    </row>
    <row r="3" spans="1:6" ht="17.25" thickBot="1" x14ac:dyDescent="0.3">
      <c r="A3" s="8" t="s">
        <v>28</v>
      </c>
      <c r="B3" s="1">
        <v>27</v>
      </c>
      <c r="C3" s="2">
        <f>retfuente[[#This Row],[Base mínima en UVT]]*$F$2</f>
        <v>1344573</v>
      </c>
      <c r="D3" s="9">
        <v>3.5000000000000003E-2</v>
      </c>
    </row>
    <row r="4" spans="1:6" ht="17.25" thickBot="1" x14ac:dyDescent="0.3">
      <c r="A4" s="8" t="s">
        <v>29</v>
      </c>
      <c r="B4" s="1">
        <v>0</v>
      </c>
      <c r="C4" s="2">
        <f>retfuente[[#This Row],[Base mínima en UVT]]*$F$2</f>
        <v>0</v>
      </c>
      <c r="D4" s="9">
        <v>1.4999999999999999E-2</v>
      </c>
    </row>
    <row r="5" spans="1:6" ht="33.75" thickBot="1" x14ac:dyDescent="0.3">
      <c r="A5" s="8" t="s">
        <v>30</v>
      </c>
      <c r="B5" s="1">
        <v>92</v>
      </c>
      <c r="C5" s="2">
        <f>retfuente[[#This Row],[Base mínima en UVT]]*$F$2</f>
        <v>4581508</v>
      </c>
      <c r="D5" s="9">
        <v>1.4999999999999999E-2</v>
      </c>
    </row>
    <row r="6" spans="1:6" ht="50.25" thickBot="1" x14ac:dyDescent="0.3">
      <c r="A6" s="8" t="s">
        <v>31</v>
      </c>
      <c r="B6" s="1">
        <v>27</v>
      </c>
      <c r="C6" s="2">
        <f>retfuente[[#This Row],[Base mínima en UVT]]*$F$2</f>
        <v>1344573</v>
      </c>
      <c r="D6" s="9">
        <v>2.5000000000000001E-2</v>
      </c>
    </row>
    <row r="7" spans="1:6" ht="50.25" thickBot="1" x14ac:dyDescent="0.3">
      <c r="A7" s="8" t="s">
        <v>32</v>
      </c>
      <c r="B7" s="1">
        <v>27</v>
      </c>
      <c r="C7" s="2">
        <f>retfuente[[#This Row],[Base mínima en UVT]]*$F$2</f>
        <v>1344573</v>
      </c>
      <c r="D7" s="9">
        <v>3.5000000000000003E-2</v>
      </c>
    </row>
    <row r="8" spans="1:6" ht="17.25" thickBot="1" x14ac:dyDescent="0.3">
      <c r="A8" s="8" t="s">
        <v>33</v>
      </c>
      <c r="B8" s="1">
        <v>160</v>
      </c>
      <c r="C8" s="2">
        <f>retfuente[[#This Row],[Base mínima en UVT]]*$F$2</f>
        <v>7967840</v>
      </c>
      <c r="D8" s="9">
        <v>5.0000000000000001E-3</v>
      </c>
    </row>
    <row r="9" spans="1:6" ht="33.75" thickBot="1" x14ac:dyDescent="0.3">
      <c r="A9" s="8" t="s">
        <v>34</v>
      </c>
      <c r="B9" s="1">
        <v>0</v>
      </c>
      <c r="C9" s="2">
        <f>retfuente[[#This Row],[Base mínima en UVT]]*$F$2</f>
        <v>0</v>
      </c>
      <c r="D9" s="9">
        <v>1E-3</v>
      </c>
    </row>
    <row r="10" spans="1:6" ht="50.25" thickBot="1" x14ac:dyDescent="0.3">
      <c r="A10" s="8" t="s">
        <v>35</v>
      </c>
      <c r="B10" s="1">
        <v>0</v>
      </c>
      <c r="C10" s="2">
        <f>retfuente[[#This Row],[Base mínima en UVT]]*$F$2</f>
        <v>0</v>
      </c>
      <c r="D10" s="10">
        <v>0.01</v>
      </c>
    </row>
    <row r="11" spans="1:6" ht="17.25" thickBot="1" x14ac:dyDescent="0.3">
      <c r="A11" s="8" t="s">
        <v>36</v>
      </c>
      <c r="B11" s="1">
        <v>0</v>
      </c>
      <c r="C11" s="2">
        <f>retfuente[[#This Row],[Base mínima en UVT]]*$F$2</f>
        <v>0</v>
      </c>
      <c r="D11" s="10">
        <v>0.01</v>
      </c>
    </row>
    <row r="12" spans="1:6" ht="66.75" thickBot="1" x14ac:dyDescent="0.3">
      <c r="A12" s="8" t="s">
        <v>37</v>
      </c>
      <c r="B12" s="1">
        <v>0</v>
      </c>
      <c r="C12" s="2">
        <f>retfuente[[#This Row],[Base mínima en UVT]]*$F$2</f>
        <v>0</v>
      </c>
      <c r="D12" s="10">
        <v>0.01</v>
      </c>
    </row>
    <row r="13" spans="1:6" ht="66.75" thickBot="1" x14ac:dyDescent="0.3">
      <c r="A13" s="8" t="s">
        <v>38</v>
      </c>
      <c r="B13" s="3">
        <v>20000</v>
      </c>
      <c r="C13" s="2">
        <f>retfuente[[#This Row],[Base mínima en UVT]]*$F$2</f>
        <v>995980000</v>
      </c>
      <c r="D13" s="9">
        <v>2.5000000000000001E-2</v>
      </c>
    </row>
    <row r="14" spans="1:6" ht="33.75" thickBot="1" x14ac:dyDescent="0.3">
      <c r="A14" s="8" t="s">
        <v>39</v>
      </c>
      <c r="B14" s="1">
        <v>0</v>
      </c>
      <c r="C14" s="2">
        <f>retfuente[[#This Row],[Base mínima en UVT]]*$F$2</f>
        <v>0</v>
      </c>
      <c r="D14" s="9">
        <v>2.5000000000000001E-2</v>
      </c>
    </row>
    <row r="15" spans="1:6" ht="17.25" thickBot="1" x14ac:dyDescent="0.3">
      <c r="A15" s="8" t="s">
        <v>40</v>
      </c>
      <c r="B15" s="1">
        <v>4</v>
      </c>
      <c r="C15" s="2">
        <f>retfuente[[#This Row],[Base mínima en UVT]]*$F$2</f>
        <v>199196</v>
      </c>
      <c r="D15" s="10">
        <v>0.04</v>
      </c>
    </row>
    <row r="16" spans="1:6" ht="17.25" thickBot="1" x14ac:dyDescent="0.3">
      <c r="A16" s="8" t="s">
        <v>41</v>
      </c>
      <c r="B16" s="1">
        <v>4</v>
      </c>
      <c r="C16" s="2">
        <f>retfuente[[#This Row],[Base mínima en UVT]]*$F$2</f>
        <v>199196</v>
      </c>
      <c r="D16" s="10">
        <v>0.06</v>
      </c>
    </row>
    <row r="17" spans="1:4" ht="17.25" thickBot="1" x14ac:dyDescent="0.3">
      <c r="A17" s="8" t="s">
        <v>42</v>
      </c>
      <c r="B17" s="1">
        <v>27</v>
      </c>
      <c r="C17" s="2">
        <f>retfuente[[#This Row],[Base mínima en UVT]]*$F$2</f>
        <v>1344573</v>
      </c>
      <c r="D17" s="10">
        <v>0.04</v>
      </c>
    </row>
    <row r="18" spans="1:4" ht="33.75" thickBot="1" x14ac:dyDescent="0.3">
      <c r="A18" s="8" t="s">
        <v>43</v>
      </c>
      <c r="B18" s="1">
        <v>27</v>
      </c>
      <c r="C18" s="2">
        <f>retfuente[[#This Row],[Base mínima en UVT]]*$F$2</f>
        <v>1344573</v>
      </c>
      <c r="D18" s="9">
        <v>3.5000000000000003E-2</v>
      </c>
    </row>
    <row r="19" spans="1:4" ht="17.25" thickBot="1" x14ac:dyDescent="0.3">
      <c r="A19" s="8" t="s">
        <v>44</v>
      </c>
      <c r="B19" s="1">
        <v>4</v>
      </c>
      <c r="C19" s="2">
        <f>retfuente[[#This Row],[Base mínima en UVT]]*$F$2</f>
        <v>199196</v>
      </c>
      <c r="D19" s="10">
        <v>0.01</v>
      </c>
    </row>
    <row r="20" spans="1:4" ht="33.75" thickBot="1" x14ac:dyDescent="0.3">
      <c r="A20" s="8" t="s">
        <v>45</v>
      </c>
      <c r="B20" s="1">
        <v>27</v>
      </c>
      <c r="C20" s="2">
        <f>retfuente[[#This Row],[Base mínima en UVT]]*$F$2</f>
        <v>1344573</v>
      </c>
      <c r="D20" s="9">
        <v>3.5000000000000003E-2</v>
      </c>
    </row>
    <row r="21" spans="1:4" ht="33.75" thickBot="1" x14ac:dyDescent="0.3">
      <c r="A21" s="8" t="s">
        <v>46</v>
      </c>
      <c r="B21" s="1">
        <v>27</v>
      </c>
      <c r="C21" s="2">
        <f>retfuente[[#This Row],[Base mínima en UVT]]*$F$2</f>
        <v>1344573</v>
      </c>
      <c r="D21" s="9">
        <v>3.5000000000000003E-2</v>
      </c>
    </row>
    <row r="22" spans="1:4" ht="33.75" thickBot="1" x14ac:dyDescent="0.3">
      <c r="A22" s="8" t="s">
        <v>47</v>
      </c>
      <c r="B22" s="1">
        <v>4</v>
      </c>
      <c r="C22" s="2">
        <f>retfuente[[#This Row],[Base mínima en UVT]]*$F$2</f>
        <v>199196</v>
      </c>
      <c r="D22" s="10">
        <v>0.01</v>
      </c>
    </row>
    <row r="23" spans="1:4" ht="33.75" thickBot="1" x14ac:dyDescent="0.3">
      <c r="A23" s="8" t="s">
        <v>48</v>
      </c>
      <c r="B23" s="1">
        <v>4</v>
      </c>
      <c r="C23" s="2">
        <f>retfuente[[#This Row],[Base mínima en UVT]]*$F$2</f>
        <v>199196</v>
      </c>
      <c r="D23" s="10">
        <v>0.01</v>
      </c>
    </row>
    <row r="24" spans="1:4" ht="33.75" thickBot="1" x14ac:dyDescent="0.3">
      <c r="A24" s="8" t="s">
        <v>49</v>
      </c>
      <c r="B24" s="1">
        <v>4</v>
      </c>
      <c r="C24" s="2">
        <f>retfuente[[#This Row],[Base mínima en UVT]]*$F$2</f>
        <v>199196</v>
      </c>
      <c r="D24" s="10">
        <v>0.02</v>
      </c>
    </row>
    <row r="25" spans="1:4" ht="33.75" thickBot="1" x14ac:dyDescent="0.3">
      <c r="A25" s="8" t="s">
        <v>50</v>
      </c>
      <c r="B25" s="1">
        <v>4</v>
      </c>
      <c r="C25" s="2">
        <f>retfuente[[#This Row],[Base mínima en UVT]]*$F$2</f>
        <v>199196</v>
      </c>
      <c r="D25" s="10">
        <v>0.02</v>
      </c>
    </row>
    <row r="26" spans="1:4" ht="33.75" thickBot="1" x14ac:dyDescent="0.3">
      <c r="A26" s="8" t="s">
        <v>51</v>
      </c>
      <c r="B26" s="1">
        <v>4</v>
      </c>
      <c r="C26" s="2">
        <f>retfuente[[#This Row],[Base mínima en UVT]]*$F$2</f>
        <v>199196</v>
      </c>
      <c r="D26" s="9">
        <v>3.5000000000000003E-2</v>
      </c>
    </row>
    <row r="27" spans="1:4" ht="33.75" thickBot="1" x14ac:dyDescent="0.3">
      <c r="A27" s="8" t="s">
        <v>52</v>
      </c>
      <c r="B27" s="1">
        <v>4</v>
      </c>
      <c r="C27" s="2">
        <f>retfuente[[#This Row],[Base mínima en UVT]]*$F$2</f>
        <v>199196</v>
      </c>
      <c r="D27" s="9">
        <v>3.5000000000000003E-2</v>
      </c>
    </row>
    <row r="28" spans="1:4" ht="17.25" thickBot="1" x14ac:dyDescent="0.3">
      <c r="A28" s="8" t="s">
        <v>53</v>
      </c>
      <c r="B28" s="1">
        <v>0</v>
      </c>
      <c r="C28" s="2">
        <f>retfuente[[#This Row],[Base mínima en UVT]]*$F$2</f>
        <v>0</v>
      </c>
      <c r="D28" s="10">
        <v>0.04</v>
      </c>
    </row>
    <row r="29" spans="1:4" ht="33.75" thickBot="1" x14ac:dyDescent="0.3">
      <c r="A29" s="8" t="s">
        <v>54</v>
      </c>
      <c r="B29" s="1">
        <v>27</v>
      </c>
      <c r="C29" s="2">
        <f>retfuente[[#This Row],[Base mínima en UVT]]*$F$2</f>
        <v>1344573</v>
      </c>
      <c r="D29" s="9">
        <v>3.5000000000000003E-2</v>
      </c>
    </row>
    <row r="30" spans="1:4" ht="33.75" thickBot="1" x14ac:dyDescent="0.3">
      <c r="A30" s="8" t="s">
        <v>55</v>
      </c>
      <c r="B30" s="1">
        <v>27</v>
      </c>
      <c r="C30" s="2">
        <f>retfuente[[#This Row],[Base mínima en UVT]]*$F$2</f>
        <v>1344573</v>
      </c>
      <c r="D30" s="9">
        <v>3.5000000000000003E-2</v>
      </c>
    </row>
    <row r="31" spans="1:4" ht="17.25" thickBot="1" x14ac:dyDescent="0.3">
      <c r="A31" s="8" t="s">
        <v>56</v>
      </c>
      <c r="B31" s="1">
        <v>27</v>
      </c>
      <c r="C31" s="2">
        <f>retfuente[[#This Row],[Base mínima en UVT]]*$F$2</f>
        <v>1344573</v>
      </c>
      <c r="D31" s="9">
        <v>2.5000000000000001E-2</v>
      </c>
    </row>
    <row r="32" spans="1:4" ht="17.25" thickBot="1" x14ac:dyDescent="0.3">
      <c r="A32" s="8" t="s">
        <v>57</v>
      </c>
      <c r="B32" s="1">
        <v>27</v>
      </c>
      <c r="C32" s="2">
        <f>retfuente[[#This Row],[Base mínima en UVT]]*$F$2</f>
        <v>1344573</v>
      </c>
      <c r="D32" s="9">
        <v>3.5000000000000003E-2</v>
      </c>
    </row>
    <row r="33" spans="1:4" ht="17.25" thickBot="1" x14ac:dyDescent="0.3">
      <c r="A33" s="8" t="s">
        <v>58</v>
      </c>
      <c r="B33" s="1">
        <v>0</v>
      </c>
      <c r="C33" s="2">
        <f>retfuente[[#This Row],[Base mínima en UVT]]*$F$2</f>
        <v>0</v>
      </c>
      <c r="D33" s="10">
        <v>0.11</v>
      </c>
    </row>
    <row r="34" spans="1:4" ht="83.25" thickBot="1" x14ac:dyDescent="0.3">
      <c r="A34" s="8" t="s">
        <v>59</v>
      </c>
      <c r="B34" s="1">
        <v>0</v>
      </c>
      <c r="C34" s="2">
        <f>retfuente[[#This Row],[Base mínima en UVT]]*$F$2</f>
        <v>0</v>
      </c>
      <c r="D34" s="10">
        <v>0.11</v>
      </c>
    </row>
    <row r="35" spans="1:4" ht="17.25" thickBot="1" x14ac:dyDescent="0.3">
      <c r="A35" s="8" t="s">
        <v>60</v>
      </c>
      <c r="B35" s="1">
        <v>0</v>
      </c>
      <c r="C35" s="2">
        <f>retfuente[[#This Row],[Base mínima en UVT]]*$F$2</f>
        <v>0</v>
      </c>
      <c r="D35" s="10">
        <v>0.1</v>
      </c>
    </row>
    <row r="36" spans="1:4" ht="33.75" thickBot="1" x14ac:dyDescent="0.3">
      <c r="A36" s="8" t="s">
        <v>61</v>
      </c>
      <c r="B36" s="1">
        <v>0</v>
      </c>
      <c r="C36" s="2">
        <f>retfuente[[#This Row],[Base mínima en UVT]]*$F$2</f>
        <v>0</v>
      </c>
      <c r="D36" s="9">
        <v>3.5000000000000003E-2</v>
      </c>
    </row>
    <row r="37" spans="1:4" ht="17.25" thickBot="1" x14ac:dyDescent="0.3">
      <c r="A37" s="8" t="s">
        <v>62</v>
      </c>
      <c r="B37" s="1">
        <v>0</v>
      </c>
      <c r="C37" s="2">
        <f>retfuente[[#This Row],[Base mínima en UVT]]*$F$2</f>
        <v>0</v>
      </c>
      <c r="D37" s="10">
        <v>7.0000000000000007E-2</v>
      </c>
    </row>
    <row r="38" spans="1:4" ht="33.75" thickBot="1" x14ac:dyDescent="0.3">
      <c r="A38" s="8" t="s">
        <v>63</v>
      </c>
      <c r="B38" s="1">
        <v>0</v>
      </c>
      <c r="C38" s="2">
        <f>retfuente[[#This Row],[Base mínima en UVT]]*$F$2</f>
        <v>0</v>
      </c>
      <c r="D38" s="10">
        <v>0.04</v>
      </c>
    </row>
    <row r="39" spans="1:4" ht="17.25" thickBot="1" x14ac:dyDescent="0.3">
      <c r="A39" s="8" t="s">
        <v>64</v>
      </c>
      <c r="B39" s="1">
        <v>48</v>
      </c>
      <c r="C39" s="2">
        <f>retfuente[[#This Row],[Base mínima en UVT]]*$F$2</f>
        <v>2390352</v>
      </c>
      <c r="D39" s="10">
        <v>0.2</v>
      </c>
    </row>
    <row r="40" spans="1:4" ht="33.75" thickBot="1" x14ac:dyDescent="0.3">
      <c r="A40" s="8" t="s">
        <v>65</v>
      </c>
      <c r="B40" s="1">
        <v>5</v>
      </c>
      <c r="C40" s="2">
        <f>retfuente[[#This Row],[Base mínima en UVT]]*$F$2</f>
        <v>248995</v>
      </c>
      <c r="D40" s="10">
        <v>0.03</v>
      </c>
    </row>
    <row r="41" spans="1:4" ht="17.25" thickBot="1" x14ac:dyDescent="0.3">
      <c r="A41" s="8" t="s">
        <v>66</v>
      </c>
      <c r="B41" s="1">
        <v>27</v>
      </c>
      <c r="C41" s="2">
        <f>retfuente[[#This Row],[Base mínima en UVT]]*$F$2</f>
        <v>1344573</v>
      </c>
      <c r="D41" s="10">
        <v>0.02</v>
      </c>
    </row>
    <row r="42" spans="1:4" ht="17.25" thickBot="1" x14ac:dyDescent="0.3">
      <c r="A42" s="8" t="s">
        <v>67</v>
      </c>
      <c r="B42" s="1">
        <v>4</v>
      </c>
      <c r="C42" s="2">
        <f>retfuente[[#This Row],[Base mínima en UVT]]*$F$2</f>
        <v>199196</v>
      </c>
      <c r="D42" s="10">
        <v>0.15</v>
      </c>
    </row>
    <row r="43" spans="1:4" ht="17.25" thickBot="1" x14ac:dyDescent="0.3">
      <c r="A43" s="8" t="s">
        <v>68</v>
      </c>
      <c r="B43" s="1">
        <v>27</v>
      </c>
      <c r="C43" s="2">
        <f>retfuente[[#This Row],[Base mínima en UVT]]*$F$2</f>
        <v>1344573</v>
      </c>
      <c r="D43" s="10">
        <v>0.15</v>
      </c>
    </row>
    <row r="44" spans="1:4" ht="33" customHeight="1" thickBot="1" x14ac:dyDescent="0.3">
      <c r="A44" s="7" t="s">
        <v>69</v>
      </c>
      <c r="B44" s="7"/>
      <c r="C44" s="2"/>
      <c r="D44" s="7"/>
    </row>
    <row r="45" spans="1:4" ht="149.25" thickBot="1" x14ac:dyDescent="0.3">
      <c r="A45" s="8" t="s">
        <v>70</v>
      </c>
      <c r="B45" s="1">
        <v>0</v>
      </c>
      <c r="C45" s="2">
        <f>retfuente[[#This Row],[Base mínima en UVT]]*$F$2</f>
        <v>0</v>
      </c>
      <c r="D45" s="10">
        <v>0.2</v>
      </c>
    </row>
    <row r="46" spans="1:4" ht="66.75" thickBot="1" x14ac:dyDescent="0.3">
      <c r="A46" s="8" t="s">
        <v>71</v>
      </c>
      <c r="B46" s="1">
        <v>0</v>
      </c>
      <c r="C46" s="2">
        <f>retfuente[[#This Row],[Base mínima en UVT]]*$F$2</f>
        <v>0</v>
      </c>
      <c r="D46" s="10">
        <v>0.2</v>
      </c>
    </row>
    <row r="47" spans="1:4" ht="182.25" thickBot="1" x14ac:dyDescent="0.3">
      <c r="A47" s="8" t="s">
        <v>72</v>
      </c>
      <c r="B47" s="1">
        <v>0</v>
      </c>
      <c r="C47" s="2">
        <f>retfuente[[#This Row],[Base mínima en UVT]]*$F$2</f>
        <v>0</v>
      </c>
      <c r="D47" s="10">
        <v>0.15</v>
      </c>
    </row>
    <row r="48" spans="1:4" ht="99.75" thickBot="1" x14ac:dyDescent="0.3">
      <c r="A48" s="8" t="s">
        <v>73</v>
      </c>
      <c r="B48" s="1">
        <v>0</v>
      </c>
      <c r="C48" s="2">
        <f>retfuente[[#This Row],[Base mínima en UVT]]*$F$2</f>
        <v>0</v>
      </c>
      <c r="D48" s="10">
        <v>0.01</v>
      </c>
    </row>
    <row r="49" spans="1:4" ht="149.25" thickBot="1" x14ac:dyDescent="0.3">
      <c r="A49" s="8" t="s">
        <v>74</v>
      </c>
      <c r="B49" s="1">
        <v>0</v>
      </c>
      <c r="C49" s="2">
        <f>retfuente[[#This Row],[Base mínima en UVT]]*$F$2</f>
        <v>0</v>
      </c>
      <c r="D49" s="10">
        <v>0.05</v>
      </c>
    </row>
    <row r="50" spans="1:4" ht="66.75" thickBot="1" x14ac:dyDescent="0.3">
      <c r="A50" s="8" t="s">
        <v>75</v>
      </c>
      <c r="B50" s="1">
        <v>0</v>
      </c>
      <c r="C50" s="2">
        <f>retfuente[[#This Row],[Base mínima en UVT]]*$F$2</f>
        <v>0</v>
      </c>
      <c r="D50" s="10">
        <v>0.01</v>
      </c>
    </row>
    <row r="51" spans="1:4" ht="83.25" thickBot="1" x14ac:dyDescent="0.3">
      <c r="A51" s="14" t="s">
        <v>76</v>
      </c>
      <c r="B51" s="15">
        <v>0</v>
      </c>
      <c r="C51" s="2">
        <f>retfuente[[#This Row],[Base mínima en UVT]]*$F$2</f>
        <v>0</v>
      </c>
      <c r="D51" s="16">
        <v>0.33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>
      <selection activeCell="D10" sqref="D10"/>
    </sheetView>
  </sheetViews>
  <sheetFormatPr baseColWidth="10" defaultColWidth="11.42578125" defaultRowHeight="15" x14ac:dyDescent="0.25"/>
  <cols>
    <col min="1" max="1" width="34.42578125" customWidth="1"/>
    <col min="2" max="2" width="30.42578125" customWidth="1"/>
    <col min="3" max="3" width="33" customWidth="1"/>
    <col min="4" max="4" width="28.85546875" customWidth="1"/>
  </cols>
  <sheetData>
    <row r="1" spans="1:4" ht="18.75" thickBot="1" x14ac:dyDescent="0.3">
      <c r="A1" s="12" t="s">
        <v>22</v>
      </c>
      <c r="B1" s="12" t="s">
        <v>23</v>
      </c>
      <c r="C1" s="12" t="s">
        <v>24</v>
      </c>
      <c r="D1" s="12" t="s">
        <v>25</v>
      </c>
    </row>
    <row r="2" spans="1:4" x14ac:dyDescent="0.25">
      <c r="A2" t="s">
        <v>77</v>
      </c>
      <c r="B2">
        <v>10</v>
      </c>
      <c r="C2" s="90">
        <v>471000</v>
      </c>
      <c r="D2" s="6">
        <v>6.0000000000000001E-3</v>
      </c>
    </row>
    <row r="3" spans="1:4" x14ac:dyDescent="0.25">
      <c r="A3" t="s">
        <v>78</v>
      </c>
      <c r="B3">
        <v>10</v>
      </c>
      <c r="C3" s="90">
        <v>471000</v>
      </c>
      <c r="D3" s="5">
        <v>0.01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DF6F8-1689-420A-B12B-2B37FE62525F}">
  <sheetPr>
    <pageSetUpPr fitToPage="1"/>
  </sheetPr>
  <dimension ref="A1:U187"/>
  <sheetViews>
    <sheetView tabSelected="1" topLeftCell="A160" zoomScale="70" zoomScaleNormal="70" zoomScaleSheetLayoutView="85" workbookViewId="0">
      <selection activeCell="M188" sqref="M188"/>
    </sheetView>
  </sheetViews>
  <sheetFormatPr baseColWidth="10" defaultColWidth="11.42578125" defaultRowHeight="14.25" x14ac:dyDescent="0.2"/>
  <cols>
    <col min="1" max="1" width="3.5703125" style="17" customWidth="1"/>
    <col min="2" max="2" width="21.85546875" style="18" customWidth="1"/>
    <col min="3" max="3" width="20.140625" style="36" customWidth="1"/>
    <col min="4" max="4" width="18.7109375" style="36" customWidth="1"/>
    <col min="5" max="6" width="18.7109375" style="18" customWidth="1"/>
    <col min="7" max="7" width="25" style="18" customWidth="1"/>
    <col min="8" max="8" width="25.85546875" style="18" bestFit="1" customWidth="1"/>
    <col min="9" max="9" width="21.140625" style="17" bestFit="1" customWidth="1"/>
    <col min="10" max="10" width="21.140625" style="145" customWidth="1"/>
    <col min="11" max="11" width="25.42578125" style="18" bestFit="1" customWidth="1"/>
    <col min="12" max="12" width="25.140625" style="18" bestFit="1" customWidth="1"/>
    <col min="13" max="13" width="34.85546875" style="21" bestFit="1" customWidth="1"/>
    <col min="14" max="14" width="16.5703125" style="17" customWidth="1"/>
    <col min="15" max="15" width="16.5703125" style="145" customWidth="1"/>
    <col min="16" max="16" width="18.7109375" style="18" customWidth="1"/>
    <col min="17" max="17" width="18.28515625" style="18" customWidth="1"/>
    <col min="18" max="18" width="29.7109375" style="21" customWidth="1"/>
    <col min="19" max="19" width="34.5703125" style="18" customWidth="1"/>
    <col min="20" max="20" width="15.5703125" style="18" customWidth="1"/>
    <col min="21" max="21" width="28.42578125" style="18" customWidth="1"/>
    <col min="22" max="16384" width="11.42578125" style="18"/>
  </cols>
  <sheetData>
    <row r="1" spans="1:21" ht="15" thickBot="1" x14ac:dyDescent="0.25">
      <c r="M1" s="21" t="s">
        <v>79</v>
      </c>
      <c r="R1" s="21" t="s">
        <v>79</v>
      </c>
      <c r="S1" s="18" t="s">
        <v>80</v>
      </c>
    </row>
    <row r="2" spans="1:21" s="30" customFormat="1" ht="36.75" thickBot="1" x14ac:dyDescent="0.3">
      <c r="A2" s="29"/>
      <c r="B2" s="28"/>
      <c r="C2" s="35"/>
      <c r="D2" s="35"/>
      <c r="E2" s="28"/>
      <c r="F2" s="28" t="s">
        <v>13</v>
      </c>
      <c r="G2" s="35">
        <v>2025</v>
      </c>
      <c r="I2" s="31" t="s">
        <v>81</v>
      </c>
      <c r="J2" s="146"/>
      <c r="M2" s="33">
        <f>Tabla36[[#Totals],[VALOR DE RETENCION]]</f>
        <v>5355514.7037500022</v>
      </c>
      <c r="N2" s="31" t="s">
        <v>82</v>
      </c>
      <c r="O2" s="146"/>
      <c r="P2" s="32">
        <v>471000</v>
      </c>
      <c r="R2" s="33">
        <f>Tabla36[[#Totals],[VALOR DE RETE ICA]]</f>
        <v>1349193.8692199998</v>
      </c>
      <c r="S2" s="34">
        <f>R2+M2</f>
        <v>6704708.572970002</v>
      </c>
    </row>
    <row r="3" spans="1:21" ht="72.75" thickBot="1" x14ac:dyDescent="0.25">
      <c r="I3" s="31" t="s">
        <v>83</v>
      </c>
      <c r="J3" s="146"/>
      <c r="K3" s="32">
        <v>498000</v>
      </c>
      <c r="L3" s="30"/>
      <c r="N3" s="31" t="s">
        <v>83</v>
      </c>
      <c r="O3" s="146"/>
      <c r="P3" s="32">
        <v>498000</v>
      </c>
    </row>
    <row r="4" spans="1:21" s="20" customFormat="1" ht="24" thickBot="1" x14ac:dyDescent="0.4">
      <c r="A4" s="19"/>
      <c r="C4" s="37"/>
      <c r="D4" s="37"/>
      <c r="I4" s="197" t="s">
        <v>11</v>
      </c>
      <c r="J4" s="198"/>
      <c r="K4" s="199"/>
      <c r="L4" s="199"/>
      <c r="M4" s="200"/>
      <c r="N4" s="197" t="s">
        <v>84</v>
      </c>
      <c r="O4" s="198"/>
      <c r="P4" s="199"/>
      <c r="Q4" s="199"/>
      <c r="R4" s="200"/>
    </row>
    <row r="5" spans="1:21" s="26" customFormat="1" ht="18.75" thickBot="1" x14ac:dyDescent="0.3">
      <c r="A5" s="25"/>
      <c r="B5" s="96" t="s">
        <v>1</v>
      </c>
      <c r="C5" s="97" t="s">
        <v>2</v>
      </c>
      <c r="D5" s="97" t="s">
        <v>85</v>
      </c>
      <c r="E5" s="96" t="s">
        <v>86</v>
      </c>
      <c r="F5" s="98" t="s">
        <v>87</v>
      </c>
      <c r="G5" s="98" t="s">
        <v>88</v>
      </c>
      <c r="H5" s="98" t="s">
        <v>89</v>
      </c>
      <c r="I5" s="39" t="s">
        <v>90</v>
      </c>
      <c r="J5" s="147" t="s">
        <v>167</v>
      </c>
      <c r="K5" s="38" t="s">
        <v>91</v>
      </c>
      <c r="L5" s="38" t="s">
        <v>92</v>
      </c>
      <c r="M5" s="40" t="s">
        <v>93</v>
      </c>
      <c r="N5" s="39" t="s">
        <v>94</v>
      </c>
      <c r="O5" s="147" t="s">
        <v>183</v>
      </c>
      <c r="P5" s="38" t="s">
        <v>95</v>
      </c>
      <c r="Q5" s="38" t="s">
        <v>96</v>
      </c>
      <c r="R5" s="40" t="s">
        <v>97</v>
      </c>
      <c r="S5" s="41" t="s">
        <v>98</v>
      </c>
      <c r="T5" s="38" t="s">
        <v>99</v>
      </c>
      <c r="U5" s="38" t="s">
        <v>100</v>
      </c>
    </row>
    <row r="6" spans="1:21" ht="28.5" x14ac:dyDescent="0.2">
      <c r="B6" s="42" t="s">
        <v>5</v>
      </c>
      <c r="C6" s="43">
        <v>1124848579</v>
      </c>
      <c r="D6" s="43" t="s">
        <v>101</v>
      </c>
      <c r="E6" s="44">
        <v>45750</v>
      </c>
      <c r="F6" s="91">
        <v>109314</v>
      </c>
      <c r="G6" s="46">
        <v>2334600</v>
      </c>
      <c r="H6" s="46">
        <v>1961849</v>
      </c>
      <c r="I6" s="47" t="s">
        <v>27</v>
      </c>
      <c r="J6" s="153">
        <f>VLOOKUP(I6,retfuente[],3,FALSE)</f>
        <v>1344573</v>
      </c>
      <c r="K6" s="48" t="str">
        <f>IF(J6&gt;=H6,"NO APLICA","APLICA")</f>
        <v>APLICA</v>
      </c>
      <c r="L6" s="22">
        <f>VLOOKUP(I6,retfuente[],4,FALSE)</f>
        <v>2.5000000000000001E-2</v>
      </c>
      <c r="M6" s="23">
        <f>IF(K6="APLICA",H6*L6,0)</f>
        <v>49046.225000000006</v>
      </c>
      <c r="N6" s="47" t="s">
        <v>77</v>
      </c>
      <c r="O6" s="171">
        <f>VLOOKUP(N6,retICA[],3,FALSE)</f>
        <v>471000</v>
      </c>
      <c r="P6" s="48" t="str">
        <f>IF($P$2&gt;=H6,"NO APLICA","APLICA")</f>
        <v>APLICA</v>
      </c>
      <c r="Q6" s="22">
        <f>VLOOKUP(N6,retICA[],4,FALSE)</f>
        <v>6.0000000000000001E-3</v>
      </c>
      <c r="R6" s="23">
        <f t="shared" ref="R6" si="0">IF(P6="APLICA",H6*Q6,0)</f>
        <v>11771.094000000001</v>
      </c>
      <c r="S6" s="24">
        <f t="shared" ref="S6" si="1">G6-(R6+M6)</f>
        <v>2273782.6809999999</v>
      </c>
      <c r="U6" s="24">
        <f t="shared" ref="U6" si="2">G6-S6</f>
        <v>60817.319000000134</v>
      </c>
    </row>
    <row r="7" spans="1:21" ht="29.25" x14ac:dyDescent="0.25">
      <c r="B7" t="s">
        <v>6</v>
      </c>
      <c r="C7" t="s">
        <v>7</v>
      </c>
      <c r="D7" s="43" t="s">
        <v>101</v>
      </c>
      <c r="E7" s="44">
        <v>45768</v>
      </c>
      <c r="F7" s="91" t="s">
        <v>102</v>
      </c>
      <c r="G7" s="46">
        <v>5002800</v>
      </c>
      <c r="H7" s="46">
        <v>4204033.6100000003</v>
      </c>
      <c r="I7" s="47" t="s">
        <v>27</v>
      </c>
      <c r="J7" s="153">
        <f>VLOOKUP(I7,retfuente[],3,FALSE)</f>
        <v>1344573</v>
      </c>
      <c r="K7" s="48" t="str">
        <f t="shared" ref="K7:K38" si="3">IF(J7&gt;=H7,"NO APLICA","APLICA")</f>
        <v>APLICA</v>
      </c>
      <c r="L7" s="22">
        <f>VLOOKUP(I7,retfuente[],4,FALSE)</f>
        <v>2.5000000000000001E-2</v>
      </c>
      <c r="M7" s="23">
        <f t="shared" ref="M7" si="4">IF(K7="APLICA",H7*L7,0)</f>
        <v>105100.84025000001</v>
      </c>
      <c r="N7" s="47" t="s">
        <v>77</v>
      </c>
      <c r="O7" s="171">
        <f>VLOOKUP(N7,retICA[],3,FALSE)</f>
        <v>471000</v>
      </c>
      <c r="P7" s="48" t="str">
        <f t="shared" ref="P7" si="5">IF($P$2&gt;=H7,"NO APLICA","APLICA")</f>
        <v>APLICA</v>
      </c>
      <c r="Q7" s="22">
        <f>VLOOKUP(N7,retICA[],4,FALSE)</f>
        <v>6.0000000000000001E-3</v>
      </c>
      <c r="R7" s="92">
        <f>IF(P7="APLICA",H7*Q7,0)</f>
        <v>25224.201660000002</v>
      </c>
      <c r="S7" s="24">
        <f t="shared" ref="S7" si="6">G7-(R7+M7)</f>
        <v>4872474.9580899999</v>
      </c>
      <c r="U7" s="24">
        <f t="shared" ref="U7" si="7">G7-S7</f>
        <v>130325.04191000015</v>
      </c>
    </row>
    <row r="8" spans="1:21" ht="29.25" x14ac:dyDescent="0.25">
      <c r="B8" t="s">
        <v>8</v>
      </c>
      <c r="C8" t="s">
        <v>9</v>
      </c>
      <c r="D8" s="43" t="s">
        <v>101</v>
      </c>
      <c r="E8" s="44">
        <v>45770</v>
      </c>
      <c r="F8" s="91">
        <v>12807</v>
      </c>
      <c r="G8" s="46">
        <v>910000</v>
      </c>
      <c r="H8" s="46">
        <v>767227</v>
      </c>
      <c r="I8" s="47" t="s">
        <v>27</v>
      </c>
      <c r="J8" s="153">
        <f>VLOOKUP(I8,retfuente[],3,FALSE)</f>
        <v>1344573</v>
      </c>
      <c r="K8" s="48" t="str">
        <f t="shared" si="3"/>
        <v>NO APLICA</v>
      </c>
      <c r="L8" s="22">
        <f>VLOOKUP(I8,retfuente[],4,FALSE)</f>
        <v>2.5000000000000001E-2</v>
      </c>
      <c r="M8" s="23">
        <f t="shared" ref="M8:M9" si="8">IF(K8="APLICA",H8*L8,0)</f>
        <v>0</v>
      </c>
      <c r="N8" s="47" t="s">
        <v>77</v>
      </c>
      <c r="O8" s="171">
        <f>VLOOKUP(N8,retICA[],3,FALSE)</f>
        <v>471000</v>
      </c>
      <c r="P8" s="48" t="str">
        <f t="shared" ref="P8:P9" si="9">IF($P$2&gt;=H8,"NO APLICA","APLICA")</f>
        <v>APLICA</v>
      </c>
      <c r="Q8" s="22">
        <f>VLOOKUP(N8,retICA[],4,FALSE)</f>
        <v>6.0000000000000001E-3</v>
      </c>
      <c r="R8" s="23">
        <f t="shared" ref="R8:R9" si="10">IF(P8="APLICA",H8*Q8,0)</f>
        <v>4603.3620000000001</v>
      </c>
      <c r="S8" s="24">
        <f t="shared" ref="S8:S9" si="11">G8-(R8+M8)</f>
        <v>905396.63800000004</v>
      </c>
      <c r="U8" s="24">
        <f t="shared" ref="U8:U9" si="12">G8-S8</f>
        <v>4603.3619999999646</v>
      </c>
    </row>
    <row r="9" spans="1:21" ht="28.5" x14ac:dyDescent="0.2">
      <c r="B9" s="42" t="s">
        <v>5</v>
      </c>
      <c r="C9" s="43">
        <v>1124848579</v>
      </c>
      <c r="D9" s="43" t="s">
        <v>101</v>
      </c>
      <c r="E9" s="44">
        <v>45755</v>
      </c>
      <c r="F9" s="91">
        <v>110490</v>
      </c>
      <c r="G9" s="46">
        <v>364400</v>
      </c>
      <c r="H9" s="46">
        <v>306218</v>
      </c>
      <c r="I9" s="47" t="s">
        <v>27</v>
      </c>
      <c r="J9" s="148">
        <f>VLOOKUP(I9,retfuente[],3,FALSE)</f>
        <v>1344573</v>
      </c>
      <c r="K9" s="48" t="str">
        <f t="shared" si="3"/>
        <v>NO APLICA</v>
      </c>
      <c r="L9" s="22">
        <f>VLOOKUP(I9,retfuente[],4,FALSE)</f>
        <v>2.5000000000000001E-2</v>
      </c>
      <c r="M9" s="23">
        <f t="shared" si="8"/>
        <v>0</v>
      </c>
      <c r="N9" s="47" t="s">
        <v>77</v>
      </c>
      <c r="O9" s="171">
        <f>VLOOKUP(N9,retICA[],3,FALSE)</f>
        <v>471000</v>
      </c>
      <c r="P9" s="48" t="str">
        <f t="shared" si="9"/>
        <v>NO APLICA</v>
      </c>
      <c r="Q9" s="22">
        <f>VLOOKUP(N9,retICA[],4,FALSE)</f>
        <v>6.0000000000000001E-3</v>
      </c>
      <c r="R9" s="23">
        <f t="shared" si="10"/>
        <v>0</v>
      </c>
      <c r="S9" s="24">
        <f t="shared" si="11"/>
        <v>364400</v>
      </c>
      <c r="U9" s="24">
        <f t="shared" si="12"/>
        <v>0</v>
      </c>
    </row>
    <row r="10" spans="1:21" ht="28.5" x14ac:dyDescent="0.2">
      <c r="B10" s="42" t="s">
        <v>10</v>
      </c>
      <c r="C10" s="43">
        <v>1126456991</v>
      </c>
      <c r="D10" s="43" t="s">
        <v>103</v>
      </c>
      <c r="E10" s="44">
        <v>45806</v>
      </c>
      <c r="F10" s="91">
        <v>8188</v>
      </c>
      <c r="G10" s="46">
        <v>1045000</v>
      </c>
      <c r="H10" s="46">
        <v>878151</v>
      </c>
      <c r="I10" s="47" t="s">
        <v>27</v>
      </c>
      <c r="J10" s="148">
        <f>VLOOKUP(I10,retfuente[],3,FALSE)</f>
        <v>1344573</v>
      </c>
      <c r="K10" s="48" t="str">
        <f t="shared" si="3"/>
        <v>NO APLICA</v>
      </c>
      <c r="L10" s="22">
        <f>VLOOKUP(I10,retfuente[],4,FALSE)</f>
        <v>2.5000000000000001E-2</v>
      </c>
      <c r="M10" s="23">
        <f t="shared" ref="M10" si="13">IF(K10="APLICA",H10*L10,0)</f>
        <v>0</v>
      </c>
      <c r="N10" s="47" t="s">
        <v>77</v>
      </c>
      <c r="O10" s="171">
        <f>VLOOKUP(N10,retICA[],3,FALSE)</f>
        <v>471000</v>
      </c>
      <c r="P10" s="48" t="str">
        <f>IF($P$3&gt;=H10,"NO APLICA","APLICA")</f>
        <v>APLICA</v>
      </c>
      <c r="Q10" s="22">
        <f>VLOOKUP(N10,retICA[],4,FALSE)</f>
        <v>6.0000000000000001E-3</v>
      </c>
      <c r="R10" s="23">
        <f t="shared" ref="R10" si="14">IF(P10="APLICA",H10*Q10,0)</f>
        <v>5268.9059999999999</v>
      </c>
      <c r="S10" s="24">
        <f t="shared" ref="S10" si="15">G10-(R10+M10)</f>
        <v>1039731.094</v>
      </c>
      <c r="U10" s="24">
        <f t="shared" ref="U10" si="16">G10-S10</f>
        <v>5268.905999999959</v>
      </c>
    </row>
    <row r="11" spans="1:21" ht="28.5" x14ac:dyDescent="0.2">
      <c r="B11" s="42" t="s">
        <v>10</v>
      </c>
      <c r="C11" s="43">
        <v>1126456991</v>
      </c>
      <c r="D11" s="43" t="s">
        <v>103</v>
      </c>
      <c r="E11" s="44">
        <v>45806</v>
      </c>
      <c r="F11" s="91">
        <v>8194</v>
      </c>
      <c r="G11" s="46">
        <v>11582254</v>
      </c>
      <c r="H11" s="93">
        <v>9941849</v>
      </c>
      <c r="I11" s="47" t="s">
        <v>27</v>
      </c>
      <c r="J11" s="148">
        <f>VLOOKUP(I11,retfuente[],3,FALSE)</f>
        <v>1344573</v>
      </c>
      <c r="K11" s="48" t="str">
        <f t="shared" si="3"/>
        <v>APLICA</v>
      </c>
      <c r="L11" s="22">
        <f>VLOOKUP(I11,retfuente[],4,FALSE)</f>
        <v>2.5000000000000001E-2</v>
      </c>
      <c r="M11" s="23">
        <f t="shared" ref="M11" si="17">IF(K11="APLICA",H11*L11,0)</f>
        <v>248546.22500000001</v>
      </c>
      <c r="N11" s="47" t="s">
        <v>77</v>
      </c>
      <c r="O11" s="171">
        <f>VLOOKUP(N11,retICA[],3,FALSE)</f>
        <v>471000</v>
      </c>
      <c r="P11" s="48" t="str">
        <f t="shared" ref="P11:P22" si="18">IF($P$3&gt;=H11,"NO APLICA","APLICA")</f>
        <v>APLICA</v>
      </c>
      <c r="Q11" s="22">
        <f>VLOOKUP(N11,retICA[],4,FALSE)</f>
        <v>6.0000000000000001E-3</v>
      </c>
      <c r="R11" s="23">
        <f t="shared" ref="R11" si="19">IF(P11="APLICA",H11*Q11,0)</f>
        <v>59651.094000000005</v>
      </c>
      <c r="S11" s="24">
        <f t="shared" ref="S11" si="20">G11-(R11+M11)</f>
        <v>11274056.681</v>
      </c>
      <c r="U11" s="24">
        <f t="shared" ref="U11" si="21">G11-S11</f>
        <v>308197.31900000013</v>
      </c>
    </row>
    <row r="12" spans="1:21" ht="28.5" x14ac:dyDescent="0.2">
      <c r="B12" s="42" t="s">
        <v>10</v>
      </c>
      <c r="C12" s="43">
        <v>1126456991</v>
      </c>
      <c r="D12" s="43" t="s">
        <v>103</v>
      </c>
      <c r="E12" s="44">
        <v>45805</v>
      </c>
      <c r="F12" s="91">
        <v>5937</v>
      </c>
      <c r="G12" s="46">
        <v>16000</v>
      </c>
      <c r="H12" s="46">
        <v>13445</v>
      </c>
      <c r="I12" s="47" t="s">
        <v>27</v>
      </c>
      <c r="J12" s="148">
        <f>VLOOKUP(I12,retfuente[],3,FALSE)</f>
        <v>1344573</v>
      </c>
      <c r="K12" s="48" t="str">
        <f t="shared" si="3"/>
        <v>NO APLICA</v>
      </c>
      <c r="L12" s="22">
        <f>VLOOKUP(I12,retfuente[],4,FALSE)</f>
        <v>2.5000000000000001E-2</v>
      </c>
      <c r="M12" s="23">
        <f t="shared" ref="M12" si="22">IF(K12="APLICA",H12*L12,0)</f>
        <v>0</v>
      </c>
      <c r="N12" s="47" t="s">
        <v>77</v>
      </c>
      <c r="O12" s="171">
        <f>VLOOKUP(N12,retICA[],3,FALSE)</f>
        <v>471000</v>
      </c>
      <c r="P12" s="48" t="str">
        <f t="shared" si="18"/>
        <v>NO APLICA</v>
      </c>
      <c r="Q12" s="22">
        <f>VLOOKUP(N12,retICA[],4,FALSE)</f>
        <v>6.0000000000000001E-3</v>
      </c>
      <c r="R12" s="23">
        <f t="shared" ref="R12" si="23">IF(P12="APLICA",H12*Q12,0)</f>
        <v>0</v>
      </c>
      <c r="S12" s="24">
        <f t="shared" ref="S12" si="24">G12-(R12+M12)</f>
        <v>16000</v>
      </c>
      <c r="U12" s="24">
        <f t="shared" ref="U12" si="25">G12-S12</f>
        <v>0</v>
      </c>
    </row>
    <row r="13" spans="1:21" ht="28.5" x14ac:dyDescent="0.2">
      <c r="B13" s="42" t="s">
        <v>10</v>
      </c>
      <c r="C13" s="43">
        <v>1126456991</v>
      </c>
      <c r="D13" s="43" t="s">
        <v>103</v>
      </c>
      <c r="E13" s="44">
        <v>45803</v>
      </c>
      <c r="F13" s="91">
        <v>5889</v>
      </c>
      <c r="G13" s="46">
        <v>32000</v>
      </c>
      <c r="H13" s="46">
        <v>26891</v>
      </c>
      <c r="I13" s="47" t="s">
        <v>27</v>
      </c>
      <c r="J13" s="148">
        <f>VLOOKUP(I13,retfuente[],3,FALSE)</f>
        <v>1344573</v>
      </c>
      <c r="K13" s="48" t="str">
        <f t="shared" si="3"/>
        <v>NO APLICA</v>
      </c>
      <c r="L13" s="22">
        <f>VLOOKUP(I13,retfuente[],4,FALSE)</f>
        <v>2.5000000000000001E-2</v>
      </c>
      <c r="M13" s="23">
        <f t="shared" ref="M13" si="26">IF(K13="APLICA",H13*L13,0)</f>
        <v>0</v>
      </c>
      <c r="N13" s="47" t="s">
        <v>77</v>
      </c>
      <c r="O13" s="171">
        <f>VLOOKUP(N13,retICA[],3,FALSE)</f>
        <v>471000</v>
      </c>
      <c r="P13" s="48" t="str">
        <f>IF($P$3&gt;=H13,"NO APLICA","APLICA")</f>
        <v>NO APLICA</v>
      </c>
      <c r="Q13" s="22">
        <f>VLOOKUP(N13,retICA[],4,FALSE)</f>
        <v>6.0000000000000001E-3</v>
      </c>
      <c r="R13" s="23">
        <f t="shared" ref="R13" si="27">IF(P13="APLICA",H13*Q13,0)</f>
        <v>0</v>
      </c>
      <c r="S13" s="24">
        <f t="shared" ref="S13" si="28">G13-(R13+M13)</f>
        <v>32000</v>
      </c>
      <c r="U13" s="24">
        <f t="shared" ref="U13" si="29">G13-S13</f>
        <v>0</v>
      </c>
    </row>
    <row r="14" spans="1:21" ht="28.5" x14ac:dyDescent="0.2">
      <c r="B14" s="42" t="s">
        <v>10</v>
      </c>
      <c r="C14" s="43">
        <v>1126456991</v>
      </c>
      <c r="D14" s="43" t="s">
        <v>103</v>
      </c>
      <c r="E14" s="44">
        <v>45800</v>
      </c>
      <c r="F14" s="91">
        <v>5844</v>
      </c>
      <c r="G14" s="46">
        <v>680000</v>
      </c>
      <c r="H14" s="93">
        <v>571429</v>
      </c>
      <c r="I14" s="47" t="s">
        <v>27</v>
      </c>
      <c r="J14" s="148">
        <f>VLOOKUP(I14,retfuente[],3,FALSE)</f>
        <v>1344573</v>
      </c>
      <c r="K14" s="48" t="str">
        <f t="shared" si="3"/>
        <v>NO APLICA</v>
      </c>
      <c r="L14" s="22">
        <f>VLOOKUP(I14,retfuente[],4,FALSE)</f>
        <v>2.5000000000000001E-2</v>
      </c>
      <c r="M14" s="23">
        <f t="shared" ref="M14" si="30">IF(K14="APLICA",H14*L14,0)</f>
        <v>0</v>
      </c>
      <c r="N14" s="47" t="s">
        <v>77</v>
      </c>
      <c r="O14" s="171">
        <f>VLOOKUP(N14,retICA[],3,FALSE)</f>
        <v>471000</v>
      </c>
      <c r="P14" s="48" t="str">
        <f t="shared" si="18"/>
        <v>APLICA</v>
      </c>
      <c r="Q14" s="22">
        <f>VLOOKUP(N14,retICA[],4,FALSE)</f>
        <v>6.0000000000000001E-3</v>
      </c>
      <c r="R14" s="23">
        <f t="shared" ref="R14" si="31">IF(P14="APLICA",H14*Q14,0)</f>
        <v>3428.5740000000001</v>
      </c>
      <c r="S14" s="24">
        <f t="shared" ref="S14" si="32">G14-(R14+M14)</f>
        <v>676571.42599999998</v>
      </c>
      <c r="U14" s="24">
        <f t="shared" ref="U14" si="33">G14-S14</f>
        <v>3428.5740000000224</v>
      </c>
    </row>
    <row r="15" spans="1:21" ht="28.5" x14ac:dyDescent="0.2">
      <c r="B15" s="42" t="s">
        <v>10</v>
      </c>
      <c r="C15" s="43">
        <v>1126456991</v>
      </c>
      <c r="D15" s="43" t="s">
        <v>103</v>
      </c>
      <c r="E15" s="44">
        <v>45798</v>
      </c>
      <c r="F15" s="91">
        <v>7970</v>
      </c>
      <c r="G15" s="46">
        <v>60000</v>
      </c>
      <c r="H15" s="46">
        <v>50420</v>
      </c>
      <c r="I15" s="47" t="s">
        <v>27</v>
      </c>
      <c r="J15" s="148">
        <f>VLOOKUP(I15,retfuente[],3,FALSE)</f>
        <v>1344573</v>
      </c>
      <c r="K15" s="48" t="str">
        <f t="shared" si="3"/>
        <v>NO APLICA</v>
      </c>
      <c r="L15" s="22">
        <f>VLOOKUP(I15,retfuente[],4,FALSE)</f>
        <v>2.5000000000000001E-2</v>
      </c>
      <c r="M15" s="23">
        <f t="shared" ref="M15" si="34">IF(K15="APLICA",H15*L15,0)</f>
        <v>0</v>
      </c>
      <c r="N15" s="47" t="s">
        <v>77</v>
      </c>
      <c r="O15" s="171">
        <f>VLOOKUP(N15,retICA[],3,FALSE)</f>
        <v>471000</v>
      </c>
      <c r="P15" s="48" t="str">
        <f t="shared" si="18"/>
        <v>NO APLICA</v>
      </c>
      <c r="Q15" s="22">
        <f>VLOOKUP(N15,retICA[],4,FALSE)</f>
        <v>6.0000000000000001E-3</v>
      </c>
      <c r="R15" s="23">
        <f t="shared" ref="R15" si="35">IF(P15="APLICA",H15*Q15,0)</f>
        <v>0</v>
      </c>
      <c r="S15" s="24">
        <f t="shared" ref="S15" si="36">G15-(R15+M15)</f>
        <v>60000</v>
      </c>
      <c r="U15" s="24">
        <f t="shared" ref="U15" si="37">G15-S15</f>
        <v>0</v>
      </c>
    </row>
    <row r="16" spans="1:21" ht="28.5" x14ac:dyDescent="0.2">
      <c r="B16" s="42" t="s">
        <v>10</v>
      </c>
      <c r="C16" s="43">
        <v>1126456991</v>
      </c>
      <c r="D16" s="43" t="s">
        <v>103</v>
      </c>
      <c r="E16" s="44">
        <v>45798</v>
      </c>
      <c r="F16" s="91">
        <v>10884</v>
      </c>
      <c r="G16" s="46">
        <v>680000</v>
      </c>
      <c r="H16" s="93">
        <v>571429</v>
      </c>
      <c r="I16" s="47" t="s">
        <v>27</v>
      </c>
      <c r="J16" s="148">
        <f>VLOOKUP(I16,retfuente[],3,FALSE)</f>
        <v>1344573</v>
      </c>
      <c r="K16" s="48" t="str">
        <f t="shared" si="3"/>
        <v>NO APLICA</v>
      </c>
      <c r="L16" s="22">
        <f>VLOOKUP(I16,retfuente[],4,FALSE)</f>
        <v>2.5000000000000001E-2</v>
      </c>
      <c r="M16" s="23">
        <f t="shared" ref="M16" si="38">IF(K16="APLICA",H16*L16,0)</f>
        <v>0</v>
      </c>
      <c r="N16" s="47" t="s">
        <v>77</v>
      </c>
      <c r="O16" s="171">
        <f>VLOOKUP(N16,retICA[],3,FALSE)</f>
        <v>471000</v>
      </c>
      <c r="P16" s="48" t="str">
        <f t="shared" si="18"/>
        <v>APLICA</v>
      </c>
      <c r="Q16" s="22">
        <f>VLOOKUP(N16,retICA[],4,FALSE)</f>
        <v>6.0000000000000001E-3</v>
      </c>
      <c r="R16" s="23">
        <f t="shared" ref="R16" si="39">IF(P16="APLICA",H16*Q16,0)</f>
        <v>3428.5740000000001</v>
      </c>
      <c r="S16" s="24">
        <f t="shared" ref="S16" si="40">G16-(R16+M16)</f>
        <v>676571.42599999998</v>
      </c>
      <c r="U16" s="24">
        <f t="shared" ref="U16" si="41">G16-S16</f>
        <v>3428.5740000000224</v>
      </c>
    </row>
    <row r="17" spans="1:21" ht="28.5" x14ac:dyDescent="0.2">
      <c r="B17" s="42" t="s">
        <v>10</v>
      </c>
      <c r="C17" s="43">
        <v>1126456991</v>
      </c>
      <c r="D17" s="43" t="s">
        <v>103</v>
      </c>
      <c r="E17" s="44">
        <v>45797</v>
      </c>
      <c r="F17" s="91">
        <v>7952</v>
      </c>
      <c r="G17" s="46">
        <v>52000</v>
      </c>
      <c r="H17" s="46">
        <v>43697</v>
      </c>
      <c r="I17" s="47" t="s">
        <v>27</v>
      </c>
      <c r="J17" s="148">
        <f>VLOOKUP(I17,retfuente[],3,FALSE)</f>
        <v>1344573</v>
      </c>
      <c r="K17" s="48" t="str">
        <f t="shared" si="3"/>
        <v>NO APLICA</v>
      </c>
      <c r="L17" s="22">
        <f>VLOOKUP(I17,retfuente[],4,FALSE)</f>
        <v>2.5000000000000001E-2</v>
      </c>
      <c r="M17" s="23">
        <f t="shared" ref="M17" si="42">IF(K17="APLICA",H17*L17,0)</f>
        <v>0</v>
      </c>
      <c r="N17" s="47" t="s">
        <v>77</v>
      </c>
      <c r="O17" s="171">
        <f>VLOOKUP(N17,retICA[],3,FALSE)</f>
        <v>471000</v>
      </c>
      <c r="P17" s="48" t="str">
        <f t="shared" si="18"/>
        <v>NO APLICA</v>
      </c>
      <c r="Q17" s="22">
        <f>VLOOKUP(N17,retICA[],4,FALSE)</f>
        <v>6.0000000000000001E-3</v>
      </c>
      <c r="R17" s="23">
        <f t="shared" ref="R17" si="43">IF(P17="APLICA",H17*Q17,0)</f>
        <v>0</v>
      </c>
      <c r="S17" s="24">
        <f t="shared" ref="S17" si="44">G17-(R17+M17)</f>
        <v>52000</v>
      </c>
      <c r="U17" s="24">
        <f t="shared" ref="U17" si="45">G17-S17</f>
        <v>0</v>
      </c>
    </row>
    <row r="18" spans="1:21" ht="28.5" x14ac:dyDescent="0.2">
      <c r="B18" s="42" t="s">
        <v>10</v>
      </c>
      <c r="C18" s="43">
        <v>1126456991</v>
      </c>
      <c r="D18" s="43" t="s">
        <v>103</v>
      </c>
      <c r="E18" s="44">
        <v>45792</v>
      </c>
      <c r="F18" s="91">
        <v>5704</v>
      </c>
      <c r="G18" s="46">
        <v>1096000</v>
      </c>
      <c r="H18" s="46">
        <v>921008</v>
      </c>
      <c r="I18" s="47" t="s">
        <v>27</v>
      </c>
      <c r="J18" s="148">
        <f>VLOOKUP(I18,retfuente[],3,FALSE)</f>
        <v>1344573</v>
      </c>
      <c r="K18" s="48" t="str">
        <f t="shared" si="3"/>
        <v>NO APLICA</v>
      </c>
      <c r="L18" s="22">
        <f>VLOOKUP(I18,retfuente[],4,FALSE)</f>
        <v>2.5000000000000001E-2</v>
      </c>
      <c r="M18" s="23">
        <f t="shared" ref="M18" si="46">IF(K18="APLICA",H18*L18,0)</f>
        <v>0</v>
      </c>
      <c r="N18" s="47" t="s">
        <v>77</v>
      </c>
      <c r="O18" s="171">
        <f>VLOOKUP(N18,retICA[],3,FALSE)</f>
        <v>471000</v>
      </c>
      <c r="P18" s="48" t="str">
        <f t="shared" si="18"/>
        <v>APLICA</v>
      </c>
      <c r="Q18" s="22">
        <f>VLOOKUP(N18,retICA[],4,FALSE)</f>
        <v>6.0000000000000001E-3</v>
      </c>
      <c r="R18" s="23">
        <f t="shared" ref="R18" si="47">IF(P18="APLICA",H18*Q18,0)</f>
        <v>5526.0479999999998</v>
      </c>
      <c r="S18" s="24">
        <f t="shared" ref="S18" si="48">G18-(R18+M18)</f>
        <v>1090473.952</v>
      </c>
      <c r="U18" s="24">
        <f t="shared" ref="U18" si="49">G18-S18</f>
        <v>5526.0479999999516</v>
      </c>
    </row>
    <row r="19" spans="1:21" ht="28.5" x14ac:dyDescent="0.2">
      <c r="B19" s="42" t="s">
        <v>10</v>
      </c>
      <c r="C19" s="43">
        <v>1126456991</v>
      </c>
      <c r="D19" s="43" t="s">
        <v>103</v>
      </c>
      <c r="E19" s="44">
        <v>45789</v>
      </c>
      <c r="F19" s="91">
        <v>7685</v>
      </c>
      <c r="G19" s="46">
        <v>31000</v>
      </c>
      <c r="H19" s="46">
        <v>26050</v>
      </c>
      <c r="I19" s="47" t="s">
        <v>27</v>
      </c>
      <c r="J19" s="148">
        <f>VLOOKUP(I19,retfuente[],3,FALSE)</f>
        <v>1344573</v>
      </c>
      <c r="K19" s="48" t="str">
        <f t="shared" si="3"/>
        <v>NO APLICA</v>
      </c>
      <c r="L19" s="22">
        <f>VLOOKUP(I19,retfuente[],4,FALSE)</f>
        <v>2.5000000000000001E-2</v>
      </c>
      <c r="M19" s="23">
        <f t="shared" ref="M19" si="50">IF(K19="APLICA",H19*L19,0)</f>
        <v>0</v>
      </c>
      <c r="N19" s="47" t="s">
        <v>77</v>
      </c>
      <c r="O19" s="171">
        <f>VLOOKUP(N19,retICA[],3,FALSE)</f>
        <v>471000</v>
      </c>
      <c r="P19" s="48" t="str">
        <f t="shared" si="18"/>
        <v>NO APLICA</v>
      </c>
      <c r="Q19" s="22">
        <f>VLOOKUP(N19,retICA[],4,FALSE)</f>
        <v>6.0000000000000001E-3</v>
      </c>
      <c r="R19" s="23">
        <f t="shared" ref="R19" si="51">IF(P19="APLICA",H19*Q19,0)</f>
        <v>0</v>
      </c>
      <c r="S19" s="24">
        <f t="shared" ref="S19" si="52">G19-(R19+M19)</f>
        <v>31000</v>
      </c>
      <c r="U19" s="24">
        <f t="shared" ref="U19" si="53">G19-S19</f>
        <v>0</v>
      </c>
    </row>
    <row r="20" spans="1:21" ht="28.5" x14ac:dyDescent="0.2">
      <c r="B20" s="42" t="s">
        <v>10</v>
      </c>
      <c r="C20" s="43">
        <v>1126456991</v>
      </c>
      <c r="D20" s="43" t="s">
        <v>103</v>
      </c>
      <c r="E20" s="44">
        <v>45787</v>
      </c>
      <c r="F20" s="91">
        <v>10637</v>
      </c>
      <c r="G20" s="46">
        <v>172000</v>
      </c>
      <c r="H20" s="46">
        <v>144538</v>
      </c>
      <c r="I20" s="47" t="s">
        <v>27</v>
      </c>
      <c r="J20" s="148">
        <f>VLOOKUP(I20,retfuente[],3,FALSE)</f>
        <v>1344573</v>
      </c>
      <c r="K20" s="48" t="str">
        <f t="shared" si="3"/>
        <v>NO APLICA</v>
      </c>
      <c r="L20" s="22">
        <f>VLOOKUP(I20,retfuente[],4,FALSE)</f>
        <v>2.5000000000000001E-2</v>
      </c>
      <c r="M20" s="23">
        <f t="shared" ref="M20" si="54">IF(K20="APLICA",H20*L20,0)</f>
        <v>0</v>
      </c>
      <c r="N20" s="47" t="s">
        <v>77</v>
      </c>
      <c r="O20" s="171">
        <f>VLOOKUP(N20,retICA[],3,FALSE)</f>
        <v>471000</v>
      </c>
      <c r="P20" s="48" t="str">
        <f t="shared" si="18"/>
        <v>NO APLICA</v>
      </c>
      <c r="Q20" s="22">
        <f>VLOOKUP(N20,retICA[],4,FALSE)</f>
        <v>6.0000000000000001E-3</v>
      </c>
      <c r="R20" s="23">
        <f t="shared" ref="R20" si="55">IF(P20="APLICA",H20*Q20,0)</f>
        <v>0</v>
      </c>
      <c r="S20" s="24">
        <f t="shared" ref="S20" si="56">G20-(R20+M20)</f>
        <v>172000</v>
      </c>
      <c r="U20" s="24">
        <f t="shared" ref="U20" si="57">G20-S20</f>
        <v>0</v>
      </c>
    </row>
    <row r="21" spans="1:21" ht="28.5" x14ac:dyDescent="0.2">
      <c r="B21" s="42" t="s">
        <v>10</v>
      </c>
      <c r="C21" s="43">
        <v>1126456991</v>
      </c>
      <c r="D21" s="43" t="s">
        <v>103</v>
      </c>
      <c r="E21" s="44">
        <v>45786</v>
      </c>
      <c r="F21" s="91">
        <v>5587</v>
      </c>
      <c r="G21" s="46">
        <v>25000</v>
      </c>
      <c r="H21" s="46">
        <v>21008</v>
      </c>
      <c r="I21" s="47" t="s">
        <v>27</v>
      </c>
      <c r="J21" s="148">
        <f>VLOOKUP(I21,retfuente[],3,FALSE)</f>
        <v>1344573</v>
      </c>
      <c r="K21" s="48" t="str">
        <f t="shared" si="3"/>
        <v>NO APLICA</v>
      </c>
      <c r="L21" s="22">
        <f>VLOOKUP(I21,retfuente[],4,FALSE)</f>
        <v>2.5000000000000001E-2</v>
      </c>
      <c r="M21" s="23">
        <f t="shared" ref="M21" si="58">IF(K21="APLICA",H21*L21,0)</f>
        <v>0</v>
      </c>
      <c r="N21" s="47" t="s">
        <v>77</v>
      </c>
      <c r="O21" s="171">
        <f>VLOOKUP(N21,retICA[],3,FALSE)</f>
        <v>471000</v>
      </c>
      <c r="P21" s="48" t="str">
        <f t="shared" si="18"/>
        <v>NO APLICA</v>
      </c>
      <c r="Q21" s="22">
        <f>VLOOKUP(N21,retICA[],4,FALSE)</f>
        <v>6.0000000000000001E-3</v>
      </c>
      <c r="R21" s="23">
        <f t="shared" ref="R21" si="59">IF(P21="APLICA",H21*Q21,0)</f>
        <v>0</v>
      </c>
      <c r="S21" s="24">
        <f t="shared" ref="S21" si="60">G21-(R21+M21)</f>
        <v>25000</v>
      </c>
      <c r="U21" s="24">
        <f t="shared" ref="U21" si="61">G21-S21</f>
        <v>0</v>
      </c>
    </row>
    <row r="22" spans="1:21" ht="28.5" x14ac:dyDescent="0.2">
      <c r="B22" s="42" t="s">
        <v>3</v>
      </c>
      <c r="C22" s="43" t="s">
        <v>4</v>
      </c>
      <c r="D22" s="43" t="s">
        <v>103</v>
      </c>
      <c r="E22" s="44">
        <v>45783</v>
      </c>
      <c r="F22" s="45" t="s">
        <v>104</v>
      </c>
      <c r="G22" s="46">
        <v>4567475</v>
      </c>
      <c r="H22" s="46">
        <v>3838214.29</v>
      </c>
      <c r="I22" s="47" t="s">
        <v>27</v>
      </c>
      <c r="J22" s="148">
        <f>VLOOKUP(I22,retfuente[],3,FALSE)</f>
        <v>1344573</v>
      </c>
      <c r="K22" s="48" t="str">
        <f t="shared" si="3"/>
        <v>APLICA</v>
      </c>
      <c r="L22" s="22">
        <f>VLOOKUP(I22,retfuente[],4,FALSE)</f>
        <v>2.5000000000000001E-2</v>
      </c>
      <c r="M22" s="23">
        <f t="shared" ref="M22" si="62">IF(K22="APLICA",H22*L22,0)</f>
        <v>95955.357250000001</v>
      </c>
      <c r="N22" s="47" t="s">
        <v>77</v>
      </c>
      <c r="O22" s="171">
        <f>VLOOKUP(N22,retICA[],3,FALSE)</f>
        <v>471000</v>
      </c>
      <c r="P22" s="48" t="str">
        <f t="shared" si="18"/>
        <v>APLICA</v>
      </c>
      <c r="Q22" s="22">
        <f>VLOOKUP(N22,retICA[],4,FALSE)</f>
        <v>6.0000000000000001E-3</v>
      </c>
      <c r="R22" s="23">
        <f t="shared" ref="R22" si="63">IF(P22="APLICA",H22*Q22,0)</f>
        <v>23029.285739999999</v>
      </c>
      <c r="S22" s="24">
        <f t="shared" ref="S22" si="64">G22-(R22+M22)</f>
        <v>4448490.3570100004</v>
      </c>
      <c r="U22" s="24">
        <f t="shared" ref="U22" si="65">G22-S22</f>
        <v>118984.64298999961</v>
      </c>
    </row>
    <row r="23" spans="1:21" ht="28.5" x14ac:dyDescent="0.2">
      <c r="B23" s="42" t="s">
        <v>3</v>
      </c>
      <c r="C23" s="43" t="s">
        <v>4</v>
      </c>
      <c r="D23" s="43" t="s">
        <v>105</v>
      </c>
      <c r="E23" s="44">
        <v>45812</v>
      </c>
      <c r="F23" s="45" t="s">
        <v>106</v>
      </c>
      <c r="G23" s="46">
        <v>8987423.0099999998</v>
      </c>
      <c r="H23" s="46">
        <v>7552456.3099999996</v>
      </c>
      <c r="I23" s="47" t="s">
        <v>27</v>
      </c>
      <c r="J23" s="148">
        <f>VLOOKUP(I23,retfuente[],3,FALSE)</f>
        <v>1344573</v>
      </c>
      <c r="K23" s="48" t="str">
        <f t="shared" si="3"/>
        <v>APLICA</v>
      </c>
      <c r="L23" s="22">
        <f>VLOOKUP(I23,retfuente[],4,FALSE)</f>
        <v>2.5000000000000001E-2</v>
      </c>
      <c r="M23" s="23">
        <f t="shared" ref="M23:M24" si="66">IF(K23="APLICA",H23*L23,0)</f>
        <v>188811.40775000001</v>
      </c>
      <c r="N23" s="47" t="s">
        <v>77</v>
      </c>
      <c r="O23" s="171">
        <f>VLOOKUP(N23,retICA[],3,FALSE)</f>
        <v>471000</v>
      </c>
      <c r="P23" s="48" t="str">
        <f t="shared" ref="P23:P24" si="67">IF($P$3&gt;=H23,"NO APLICA","APLICA")</f>
        <v>APLICA</v>
      </c>
      <c r="Q23" s="22">
        <f>VLOOKUP(N23,retICA[],4,FALSE)</f>
        <v>6.0000000000000001E-3</v>
      </c>
      <c r="R23" s="23">
        <f t="shared" ref="R23:R24" si="68">IF(P23="APLICA",H23*Q23,0)</f>
        <v>45314.737860000001</v>
      </c>
      <c r="S23" s="24">
        <f t="shared" ref="S23:S24" si="69">G23-(R23+M23)</f>
        <v>8753296.8643900007</v>
      </c>
      <c r="U23" s="24">
        <f t="shared" ref="U23:U24" si="70">G23-S23</f>
        <v>234126.14560999908</v>
      </c>
    </row>
    <row r="24" spans="1:21" s="123" customFormat="1" ht="28.5" x14ac:dyDescent="0.2">
      <c r="A24" s="110"/>
      <c r="B24" s="138" t="s">
        <v>10</v>
      </c>
      <c r="C24" s="113">
        <v>1126456991</v>
      </c>
      <c r="D24" s="113" t="s">
        <v>103</v>
      </c>
      <c r="E24" s="139">
        <v>45819</v>
      </c>
      <c r="F24" s="140">
        <v>8528</v>
      </c>
      <c r="G24" s="117">
        <v>700000</v>
      </c>
      <c r="H24" s="117">
        <v>588235</v>
      </c>
      <c r="I24" s="141" t="s">
        <v>27</v>
      </c>
      <c r="J24" s="149">
        <f>VLOOKUP(I24,retfuente[],3,FALSE)</f>
        <v>1344573</v>
      </c>
      <c r="K24" s="48" t="str">
        <f t="shared" si="3"/>
        <v>NO APLICA</v>
      </c>
      <c r="L24" s="143">
        <f>VLOOKUP(I24,retfuente[],4,FALSE)</f>
        <v>2.5000000000000001E-2</v>
      </c>
      <c r="M24" s="117">
        <f t="shared" si="66"/>
        <v>0</v>
      </c>
      <c r="N24" s="141" t="s">
        <v>77</v>
      </c>
      <c r="O24" s="171">
        <f>VLOOKUP(N24,retICA[],3,FALSE)</f>
        <v>471000</v>
      </c>
      <c r="P24" s="142" t="str">
        <f t="shared" si="67"/>
        <v>APLICA</v>
      </c>
      <c r="Q24" s="143">
        <f>VLOOKUP(N24,retICA[],4,FALSE)</f>
        <v>6.0000000000000001E-3</v>
      </c>
      <c r="R24" s="117">
        <f t="shared" si="68"/>
        <v>3529.41</v>
      </c>
      <c r="S24" s="144">
        <f t="shared" si="69"/>
        <v>696470.59</v>
      </c>
      <c r="U24" s="144">
        <f t="shared" si="70"/>
        <v>3529.4100000000326</v>
      </c>
    </row>
    <row r="25" spans="1:21" s="123" customFormat="1" ht="28.5" x14ac:dyDescent="0.2">
      <c r="A25" s="110"/>
      <c r="B25" s="138" t="s">
        <v>10</v>
      </c>
      <c r="C25" s="113">
        <v>1126456991</v>
      </c>
      <c r="D25" s="113" t="s">
        <v>103</v>
      </c>
      <c r="E25" s="139">
        <v>45820</v>
      </c>
      <c r="F25" s="140">
        <v>8554</v>
      </c>
      <c r="G25" s="117">
        <v>1074000</v>
      </c>
      <c r="H25" s="117">
        <v>902521</v>
      </c>
      <c r="I25" s="141" t="s">
        <v>27</v>
      </c>
      <c r="J25" s="149">
        <f>VLOOKUP(I25,retfuente[],3,FALSE)</f>
        <v>1344573</v>
      </c>
      <c r="K25" s="48" t="str">
        <f t="shared" si="3"/>
        <v>NO APLICA</v>
      </c>
      <c r="L25" s="143">
        <f>VLOOKUP(I25,retfuente[],4,FALSE)</f>
        <v>2.5000000000000001E-2</v>
      </c>
      <c r="M25" s="117">
        <f t="shared" ref="M25" si="71">IF(K25="APLICA",H25*L25,0)</f>
        <v>0</v>
      </c>
      <c r="N25" s="141" t="s">
        <v>77</v>
      </c>
      <c r="O25" s="171">
        <f>VLOOKUP(N25,retICA[],3,FALSE)</f>
        <v>471000</v>
      </c>
      <c r="P25" s="142" t="str">
        <f t="shared" ref="P25" si="72">IF($P$3&gt;=H25,"NO APLICA","APLICA")</f>
        <v>APLICA</v>
      </c>
      <c r="Q25" s="143">
        <f>VLOOKUP(N25,retICA[],4,FALSE)</f>
        <v>6.0000000000000001E-3</v>
      </c>
      <c r="R25" s="117">
        <f t="shared" ref="R25" si="73">IF(P25="APLICA",H25*Q25,0)</f>
        <v>5415.1260000000002</v>
      </c>
      <c r="S25" s="144">
        <f t="shared" ref="S25" si="74">G25-(R25+M25)</f>
        <v>1068584.8740000001</v>
      </c>
      <c r="U25" s="144">
        <f t="shared" ref="U25" si="75">G25-S25</f>
        <v>5415.1259999999311</v>
      </c>
    </row>
    <row r="26" spans="1:21" ht="28.5" x14ac:dyDescent="0.2">
      <c r="A26" s="99"/>
      <c r="B26" s="100" t="s">
        <v>3</v>
      </c>
      <c r="C26" s="101" t="s">
        <v>4</v>
      </c>
      <c r="D26" s="43" t="s">
        <v>105</v>
      </c>
      <c r="E26" s="102">
        <v>45814</v>
      </c>
      <c r="F26" s="103" t="s">
        <v>107</v>
      </c>
      <c r="G26" s="104">
        <v>784218</v>
      </c>
      <c r="H26" s="46">
        <v>659006.71999999997</v>
      </c>
      <c r="I26" s="105" t="s">
        <v>27</v>
      </c>
      <c r="J26" s="150">
        <f>VLOOKUP(I26,retfuente[],3,FALSE)</f>
        <v>1344573</v>
      </c>
      <c r="K26" s="48" t="str">
        <f t="shared" si="3"/>
        <v>NO APLICA</v>
      </c>
      <c r="L26" s="107">
        <f>VLOOKUP(I26,retfuente[],4,FALSE)</f>
        <v>2.5000000000000001E-2</v>
      </c>
      <c r="M26" s="108">
        <f t="shared" ref="M26:M38" si="76">IF(K26="APLICA",H26*L26,0)</f>
        <v>0</v>
      </c>
      <c r="N26" s="105" t="s">
        <v>77</v>
      </c>
      <c r="O26" s="171">
        <f>VLOOKUP(N26,retICA[],3,FALSE)</f>
        <v>471000</v>
      </c>
      <c r="P26" s="106" t="str">
        <f>IF($P$3&gt;=H26,"NO APLICA","APLICA")</f>
        <v>APLICA</v>
      </c>
      <c r="Q26" s="107">
        <f>VLOOKUP(N26,retICA[],4,FALSE)</f>
        <v>6.0000000000000001E-3</v>
      </c>
      <c r="R26" s="108">
        <f t="shared" ref="R26:R39" si="77">IF(P26="APLICA",H26*Q26,0)</f>
        <v>3954.0403200000001</v>
      </c>
      <c r="S26" s="94">
        <f t="shared" ref="S26:S38" si="78">G26-(R26+M26)</f>
        <v>780263.95967999997</v>
      </c>
      <c r="T26" s="95"/>
      <c r="U26" s="94">
        <f t="shared" ref="U26:U38" si="79">G26-S26</f>
        <v>3954.0403200000292</v>
      </c>
    </row>
    <row r="27" spans="1:21" s="137" customFormat="1" ht="28.5" x14ac:dyDescent="0.2">
      <c r="A27" s="124"/>
      <c r="B27" s="125" t="s">
        <v>10</v>
      </c>
      <c r="C27" s="126">
        <v>1126456991</v>
      </c>
      <c r="D27" s="127" t="s">
        <v>103</v>
      </c>
      <c r="E27" s="128">
        <v>45810</v>
      </c>
      <c r="F27" s="129">
        <v>8274</v>
      </c>
      <c r="G27" s="130">
        <v>2725513</v>
      </c>
      <c r="H27" s="131">
        <v>2339496</v>
      </c>
      <c r="I27" s="132" t="s">
        <v>27</v>
      </c>
      <c r="J27" s="151">
        <f>VLOOKUP(I27,retfuente[],3,FALSE)</f>
        <v>1344573</v>
      </c>
      <c r="K27" s="48" t="str">
        <f t="shared" si="3"/>
        <v>APLICA</v>
      </c>
      <c r="L27" s="134">
        <f>VLOOKUP(I27,retfuente[],4,FALSE)</f>
        <v>2.5000000000000001E-2</v>
      </c>
      <c r="M27" s="130">
        <f t="shared" si="76"/>
        <v>58487.4</v>
      </c>
      <c r="N27" s="132" t="s">
        <v>77</v>
      </c>
      <c r="O27" s="171">
        <f>VLOOKUP(N27,retICA[],3,FALSE)</f>
        <v>471000</v>
      </c>
      <c r="P27" s="133" t="str">
        <f>IF($P$3&gt;=H27,"NO APLICA","APLICA")</f>
        <v>APLICA</v>
      </c>
      <c r="Q27" s="134">
        <f>VLOOKUP(N27,retICA[],4,FALSE)</f>
        <v>6.0000000000000001E-3</v>
      </c>
      <c r="R27" s="130">
        <f t="shared" si="77"/>
        <v>14036.976000000001</v>
      </c>
      <c r="S27" s="135">
        <f t="shared" si="78"/>
        <v>2652988.6239999998</v>
      </c>
      <c r="T27" s="136"/>
      <c r="U27" s="135">
        <f t="shared" si="79"/>
        <v>72524.376000000164</v>
      </c>
    </row>
    <row r="28" spans="1:21" s="123" customFormat="1" ht="28.5" x14ac:dyDescent="0.2">
      <c r="A28" s="110"/>
      <c r="B28" s="111" t="s">
        <v>5</v>
      </c>
      <c r="C28" s="112">
        <v>1124848579</v>
      </c>
      <c r="D28" s="189"/>
      <c r="E28" s="114">
        <v>45826</v>
      </c>
      <c r="F28" s="115">
        <v>122154</v>
      </c>
      <c r="G28" s="116">
        <v>21363938</v>
      </c>
      <c r="H28" s="117">
        <v>17952889</v>
      </c>
      <c r="I28" s="118" t="s">
        <v>27</v>
      </c>
      <c r="J28" s="152">
        <f>VLOOKUP(I28,retfuente[],3,FALSE)</f>
        <v>1344573</v>
      </c>
      <c r="K28" s="48" t="str">
        <f t="shared" si="3"/>
        <v>APLICA</v>
      </c>
      <c r="L28" s="120">
        <f>VLOOKUP(I28,retfuente[],4,FALSE)</f>
        <v>2.5000000000000001E-2</v>
      </c>
      <c r="M28" s="116">
        <f t="shared" si="76"/>
        <v>448822.22500000003</v>
      </c>
      <c r="N28" s="118" t="s">
        <v>77</v>
      </c>
      <c r="O28" s="171">
        <f>VLOOKUP(N28,retICA[],3,FALSE)</f>
        <v>471000</v>
      </c>
      <c r="P28" s="119" t="str">
        <f>IF($P$2&gt;=H28,"NO APLICA","APLICA")</f>
        <v>APLICA</v>
      </c>
      <c r="Q28" s="120">
        <f>VLOOKUP(N28,retICA[],4,FALSE)</f>
        <v>6.0000000000000001E-3</v>
      </c>
      <c r="R28" s="116">
        <f t="shared" si="77"/>
        <v>107717.334</v>
      </c>
      <c r="S28" s="121">
        <f t="shared" si="78"/>
        <v>20807398.441</v>
      </c>
      <c r="T28" s="122"/>
      <c r="U28" s="121">
        <f t="shared" si="79"/>
        <v>556539.55900000036</v>
      </c>
    </row>
    <row r="29" spans="1:21" ht="28.5" x14ac:dyDescent="0.2">
      <c r="B29" s="100" t="s">
        <v>10</v>
      </c>
      <c r="C29" s="101">
        <v>1126456991</v>
      </c>
      <c r="D29" s="43" t="s">
        <v>103</v>
      </c>
      <c r="E29" s="102">
        <v>45812</v>
      </c>
      <c r="F29" s="109">
        <v>6112</v>
      </c>
      <c r="G29" s="104">
        <v>20500</v>
      </c>
      <c r="H29" s="46">
        <v>17227</v>
      </c>
      <c r="I29" s="105" t="s">
        <v>27</v>
      </c>
      <c r="J29" s="150">
        <f>VLOOKUP(I29,retfuente[],3,FALSE)</f>
        <v>1344573</v>
      </c>
      <c r="K29" s="48" t="str">
        <f t="shared" si="3"/>
        <v>NO APLICA</v>
      </c>
      <c r="L29" s="107">
        <f>VLOOKUP(I29,retfuente[],4,FALSE)</f>
        <v>2.5000000000000001E-2</v>
      </c>
      <c r="M29" s="108">
        <f t="shared" si="76"/>
        <v>0</v>
      </c>
      <c r="N29" s="105" t="s">
        <v>77</v>
      </c>
      <c r="O29" s="171">
        <f>VLOOKUP(N29,retICA[],3,FALSE)</f>
        <v>471000</v>
      </c>
      <c r="P29" s="106" t="str">
        <f t="shared" ref="P29:P38" si="80">IF($P$3&gt;=H29,"NO APLICA","APLICA")</f>
        <v>NO APLICA</v>
      </c>
      <c r="Q29" s="107">
        <f>VLOOKUP(N29,retICA[],4,FALSE)</f>
        <v>6.0000000000000001E-3</v>
      </c>
      <c r="R29" s="108">
        <f t="shared" si="77"/>
        <v>0</v>
      </c>
      <c r="S29" s="94">
        <f t="shared" si="78"/>
        <v>20500</v>
      </c>
      <c r="T29" s="95"/>
      <c r="U29" s="94">
        <f t="shared" si="79"/>
        <v>0</v>
      </c>
    </row>
    <row r="30" spans="1:21" s="123" customFormat="1" ht="28.5" x14ac:dyDescent="0.2">
      <c r="A30" s="110"/>
      <c r="B30" s="111" t="s">
        <v>10</v>
      </c>
      <c r="C30" s="112">
        <v>1126456991</v>
      </c>
      <c r="D30" s="113" t="s">
        <v>103</v>
      </c>
      <c r="E30" s="114">
        <v>45813</v>
      </c>
      <c r="F30" s="115">
        <v>8383</v>
      </c>
      <c r="G30" s="116">
        <v>1022000</v>
      </c>
      <c r="H30" s="117">
        <v>858824</v>
      </c>
      <c r="I30" s="118" t="s">
        <v>27</v>
      </c>
      <c r="J30" s="152">
        <f>VLOOKUP(I30,retfuente[],3,FALSE)</f>
        <v>1344573</v>
      </c>
      <c r="K30" s="48" t="str">
        <f t="shared" si="3"/>
        <v>NO APLICA</v>
      </c>
      <c r="L30" s="120">
        <f>VLOOKUP(I30,retfuente[],4,FALSE)</f>
        <v>2.5000000000000001E-2</v>
      </c>
      <c r="M30" s="116">
        <f t="shared" si="76"/>
        <v>0</v>
      </c>
      <c r="N30" s="118" t="s">
        <v>77</v>
      </c>
      <c r="O30" s="171">
        <f>VLOOKUP(N30,retICA[],3,FALSE)</f>
        <v>471000</v>
      </c>
      <c r="P30" s="119" t="str">
        <f t="shared" si="80"/>
        <v>APLICA</v>
      </c>
      <c r="Q30" s="120">
        <f>VLOOKUP(N30,retICA[],4,FALSE)</f>
        <v>6.0000000000000001E-3</v>
      </c>
      <c r="R30" s="116">
        <f t="shared" si="77"/>
        <v>5152.9440000000004</v>
      </c>
      <c r="S30" s="121">
        <f t="shared" si="78"/>
        <v>1016847.056</v>
      </c>
      <c r="T30" s="122"/>
      <c r="U30" s="121">
        <f t="shared" si="79"/>
        <v>5152.9440000000177</v>
      </c>
    </row>
    <row r="31" spans="1:21" ht="28.5" x14ac:dyDescent="0.2">
      <c r="B31" s="100" t="s">
        <v>10</v>
      </c>
      <c r="C31" s="101">
        <v>1126456991</v>
      </c>
      <c r="D31" s="43" t="s">
        <v>103</v>
      </c>
      <c r="E31" s="102">
        <v>45821</v>
      </c>
      <c r="F31" s="109">
        <v>11401</v>
      </c>
      <c r="G31" s="104">
        <v>26100</v>
      </c>
      <c r="H31" s="46">
        <v>21933</v>
      </c>
      <c r="I31" s="105" t="s">
        <v>27</v>
      </c>
      <c r="J31" s="150">
        <f>VLOOKUP(I31,retfuente[],3,FALSE)</f>
        <v>1344573</v>
      </c>
      <c r="K31" s="48" t="str">
        <f t="shared" si="3"/>
        <v>NO APLICA</v>
      </c>
      <c r="L31" s="107">
        <f>VLOOKUP(I31,retfuente[],4,FALSE)</f>
        <v>2.5000000000000001E-2</v>
      </c>
      <c r="M31" s="108">
        <f t="shared" si="76"/>
        <v>0</v>
      </c>
      <c r="N31" s="105" t="s">
        <v>77</v>
      </c>
      <c r="O31" s="171">
        <f>VLOOKUP(N31,retICA[],3,FALSE)</f>
        <v>471000</v>
      </c>
      <c r="P31" s="106" t="str">
        <f t="shared" si="80"/>
        <v>NO APLICA</v>
      </c>
      <c r="Q31" s="107">
        <f>VLOOKUP(N31,retICA[],4,FALSE)</f>
        <v>6.0000000000000001E-3</v>
      </c>
      <c r="R31" s="108">
        <f t="shared" si="77"/>
        <v>0</v>
      </c>
      <c r="S31" s="94">
        <f t="shared" si="78"/>
        <v>26100</v>
      </c>
      <c r="T31" s="95"/>
      <c r="U31" s="94">
        <f t="shared" si="79"/>
        <v>0</v>
      </c>
    </row>
    <row r="32" spans="1:21" s="123" customFormat="1" ht="28.5" x14ac:dyDescent="0.2">
      <c r="A32" s="110"/>
      <c r="B32" s="111" t="s">
        <v>10</v>
      </c>
      <c r="C32" s="112">
        <v>1126456991</v>
      </c>
      <c r="D32" s="113" t="s">
        <v>103</v>
      </c>
      <c r="E32" s="114">
        <v>45825</v>
      </c>
      <c r="F32" s="115">
        <v>11448</v>
      </c>
      <c r="G32" s="116">
        <v>1069000</v>
      </c>
      <c r="H32" s="117">
        <v>898319</v>
      </c>
      <c r="I32" s="118" t="s">
        <v>27</v>
      </c>
      <c r="J32" s="152">
        <f>VLOOKUP(I32,retfuente[],3,FALSE)</f>
        <v>1344573</v>
      </c>
      <c r="K32" s="48" t="str">
        <f t="shared" si="3"/>
        <v>NO APLICA</v>
      </c>
      <c r="L32" s="120">
        <f>VLOOKUP(I32,retfuente[],4,FALSE)</f>
        <v>2.5000000000000001E-2</v>
      </c>
      <c r="M32" s="116">
        <f t="shared" si="76"/>
        <v>0</v>
      </c>
      <c r="N32" s="118" t="s">
        <v>77</v>
      </c>
      <c r="O32" s="171">
        <f>VLOOKUP(N32,retICA[],3,FALSE)</f>
        <v>471000</v>
      </c>
      <c r="P32" s="119" t="str">
        <f t="shared" si="80"/>
        <v>APLICA</v>
      </c>
      <c r="Q32" s="120">
        <f>VLOOKUP(N32,retICA[],4,FALSE)</f>
        <v>6.0000000000000001E-3</v>
      </c>
      <c r="R32" s="116">
        <f t="shared" si="77"/>
        <v>5389.9139999999998</v>
      </c>
      <c r="S32" s="121">
        <f t="shared" si="78"/>
        <v>1063610.0859999999</v>
      </c>
      <c r="T32" s="122"/>
      <c r="U32" s="121">
        <f t="shared" si="79"/>
        <v>5389.9140000001062</v>
      </c>
    </row>
    <row r="33" spans="1:21" s="123" customFormat="1" ht="28.5" x14ac:dyDescent="0.2">
      <c r="A33" s="110"/>
      <c r="B33" s="111" t="s">
        <v>10</v>
      </c>
      <c r="C33" s="112">
        <v>1126456991</v>
      </c>
      <c r="D33" s="113" t="s">
        <v>103</v>
      </c>
      <c r="E33" s="114">
        <v>45827</v>
      </c>
      <c r="F33" s="115">
        <v>8772</v>
      </c>
      <c r="G33" s="116">
        <v>1036000</v>
      </c>
      <c r="H33" s="117">
        <v>870588</v>
      </c>
      <c r="I33" s="118" t="s">
        <v>27</v>
      </c>
      <c r="J33" s="152">
        <f>VLOOKUP(I33,retfuente[],3,FALSE)</f>
        <v>1344573</v>
      </c>
      <c r="K33" s="48" t="str">
        <f t="shared" si="3"/>
        <v>NO APLICA</v>
      </c>
      <c r="L33" s="120">
        <f>VLOOKUP(I33,retfuente[],4,FALSE)</f>
        <v>2.5000000000000001E-2</v>
      </c>
      <c r="M33" s="116">
        <f t="shared" si="76"/>
        <v>0</v>
      </c>
      <c r="N33" s="118" t="s">
        <v>77</v>
      </c>
      <c r="O33" s="171">
        <f>VLOOKUP(N33,retICA[],3,FALSE)</f>
        <v>471000</v>
      </c>
      <c r="P33" s="119" t="str">
        <f t="shared" si="80"/>
        <v>APLICA</v>
      </c>
      <c r="Q33" s="120">
        <f>VLOOKUP(N33,retICA[],4,FALSE)</f>
        <v>6.0000000000000001E-3</v>
      </c>
      <c r="R33" s="116">
        <f t="shared" si="77"/>
        <v>5223.5280000000002</v>
      </c>
      <c r="S33" s="121">
        <f t="shared" si="78"/>
        <v>1030776.472</v>
      </c>
      <c r="T33" s="122"/>
      <c r="U33" s="121">
        <f t="shared" si="79"/>
        <v>5223.5280000000494</v>
      </c>
    </row>
    <row r="34" spans="1:21" ht="28.5" x14ac:dyDescent="0.2">
      <c r="B34" s="100" t="s">
        <v>10</v>
      </c>
      <c r="C34" s="101">
        <v>1126456991</v>
      </c>
      <c r="D34" s="43" t="s">
        <v>103</v>
      </c>
      <c r="E34" s="102">
        <v>45828</v>
      </c>
      <c r="F34" s="109">
        <v>6526</v>
      </c>
      <c r="G34" s="104">
        <v>28000</v>
      </c>
      <c r="H34" s="46">
        <v>23529</v>
      </c>
      <c r="I34" s="105" t="s">
        <v>27</v>
      </c>
      <c r="J34" s="150">
        <f>VLOOKUP(I34,retfuente[],3,FALSE)</f>
        <v>1344573</v>
      </c>
      <c r="K34" s="48" t="str">
        <f t="shared" si="3"/>
        <v>NO APLICA</v>
      </c>
      <c r="L34" s="107">
        <f>VLOOKUP(I34,retfuente[],4,FALSE)</f>
        <v>2.5000000000000001E-2</v>
      </c>
      <c r="M34" s="108">
        <f t="shared" si="76"/>
        <v>0</v>
      </c>
      <c r="N34" s="105" t="s">
        <v>77</v>
      </c>
      <c r="O34" s="171">
        <f>VLOOKUP(N34,retICA[],3,FALSE)</f>
        <v>471000</v>
      </c>
      <c r="P34" s="106" t="str">
        <f t="shared" si="80"/>
        <v>NO APLICA</v>
      </c>
      <c r="Q34" s="107">
        <f>VLOOKUP(N34,retICA[],4,FALSE)</f>
        <v>6.0000000000000001E-3</v>
      </c>
      <c r="R34" s="108">
        <f t="shared" si="77"/>
        <v>0</v>
      </c>
      <c r="S34" s="94">
        <f t="shared" si="78"/>
        <v>28000</v>
      </c>
      <c r="T34" s="95"/>
      <c r="U34" s="94">
        <f t="shared" si="79"/>
        <v>0</v>
      </c>
    </row>
    <row r="35" spans="1:21" s="137" customFormat="1" ht="28.5" x14ac:dyDescent="0.2">
      <c r="A35" s="124"/>
      <c r="B35" s="125" t="s">
        <v>10</v>
      </c>
      <c r="C35" s="126">
        <v>1126456991</v>
      </c>
      <c r="D35" s="127" t="s">
        <v>103</v>
      </c>
      <c r="E35" s="128">
        <v>45831</v>
      </c>
      <c r="F35" s="129">
        <v>11641</v>
      </c>
      <c r="G35" s="130">
        <v>1020109</v>
      </c>
      <c r="H35" s="131">
        <v>875630</v>
      </c>
      <c r="I35" s="132" t="s">
        <v>27</v>
      </c>
      <c r="J35" s="151">
        <f>VLOOKUP(I35,retfuente[],3,FALSE)</f>
        <v>1344573</v>
      </c>
      <c r="K35" s="48" t="str">
        <f t="shared" si="3"/>
        <v>NO APLICA</v>
      </c>
      <c r="L35" s="134">
        <f>VLOOKUP(I35,retfuente[],4,FALSE)</f>
        <v>2.5000000000000001E-2</v>
      </c>
      <c r="M35" s="130">
        <f t="shared" si="76"/>
        <v>0</v>
      </c>
      <c r="N35" s="132" t="s">
        <v>77</v>
      </c>
      <c r="O35" s="171">
        <f>VLOOKUP(N35,retICA[],3,FALSE)</f>
        <v>471000</v>
      </c>
      <c r="P35" s="133" t="str">
        <f t="shared" si="80"/>
        <v>APLICA</v>
      </c>
      <c r="Q35" s="134">
        <f>VLOOKUP(N35,retICA[],4,FALSE)</f>
        <v>6.0000000000000001E-3</v>
      </c>
      <c r="R35" s="130">
        <f t="shared" si="77"/>
        <v>5253.78</v>
      </c>
      <c r="S35" s="135">
        <f t="shared" si="78"/>
        <v>1014855.22</v>
      </c>
      <c r="T35" s="136"/>
      <c r="U35" s="135">
        <f t="shared" si="79"/>
        <v>5253.7800000000279</v>
      </c>
    </row>
    <row r="36" spans="1:21" s="137" customFormat="1" ht="28.5" x14ac:dyDescent="0.2">
      <c r="A36" s="124"/>
      <c r="B36" s="125" t="s">
        <v>10</v>
      </c>
      <c r="C36" s="126">
        <v>1126456991</v>
      </c>
      <c r="D36" s="127" t="s">
        <v>103</v>
      </c>
      <c r="E36" s="128">
        <v>45836</v>
      </c>
      <c r="F36" s="129">
        <v>634</v>
      </c>
      <c r="G36" s="130">
        <v>745502</v>
      </c>
      <c r="H36" s="131">
        <v>639916</v>
      </c>
      <c r="I36" s="132" t="s">
        <v>27</v>
      </c>
      <c r="J36" s="151">
        <f>VLOOKUP(I36,retfuente[],3,FALSE)</f>
        <v>1344573</v>
      </c>
      <c r="K36" s="48" t="str">
        <f t="shared" si="3"/>
        <v>NO APLICA</v>
      </c>
      <c r="L36" s="134">
        <f>VLOOKUP(I36,retfuente[],4,FALSE)</f>
        <v>2.5000000000000001E-2</v>
      </c>
      <c r="M36" s="130">
        <f t="shared" si="76"/>
        <v>0</v>
      </c>
      <c r="N36" s="132" t="s">
        <v>77</v>
      </c>
      <c r="O36" s="171">
        <f>VLOOKUP(N36,retICA[],3,FALSE)</f>
        <v>471000</v>
      </c>
      <c r="P36" s="133" t="str">
        <f t="shared" si="80"/>
        <v>APLICA</v>
      </c>
      <c r="Q36" s="134">
        <f>VLOOKUP(N36,retICA[],4,FALSE)</f>
        <v>6.0000000000000001E-3</v>
      </c>
      <c r="R36" s="130">
        <f t="shared" si="77"/>
        <v>3839.4960000000001</v>
      </c>
      <c r="S36" s="135">
        <f t="shared" si="78"/>
        <v>741662.50399999996</v>
      </c>
      <c r="T36" s="136"/>
      <c r="U36" s="135">
        <f t="shared" si="79"/>
        <v>3839.4960000000428</v>
      </c>
    </row>
    <row r="37" spans="1:21" s="137" customFormat="1" ht="28.5" x14ac:dyDescent="0.2">
      <c r="A37" s="124"/>
      <c r="B37" s="125" t="s">
        <v>10</v>
      </c>
      <c r="C37" s="126">
        <v>1126456991</v>
      </c>
      <c r="D37" s="127" t="s">
        <v>103</v>
      </c>
      <c r="E37" s="128">
        <v>45836</v>
      </c>
      <c r="F37" s="129">
        <v>9017</v>
      </c>
      <c r="G37" s="130">
        <v>748831</v>
      </c>
      <c r="H37" s="131">
        <v>642773</v>
      </c>
      <c r="I37" s="132" t="s">
        <v>27</v>
      </c>
      <c r="J37" s="151">
        <f>VLOOKUP(I37,retfuente[],3,FALSE)</f>
        <v>1344573</v>
      </c>
      <c r="K37" s="48" t="str">
        <f t="shared" si="3"/>
        <v>NO APLICA</v>
      </c>
      <c r="L37" s="134">
        <f>VLOOKUP(I37,retfuente[],4,FALSE)</f>
        <v>2.5000000000000001E-2</v>
      </c>
      <c r="M37" s="130">
        <f t="shared" si="76"/>
        <v>0</v>
      </c>
      <c r="N37" s="132" t="s">
        <v>77</v>
      </c>
      <c r="O37" s="171">
        <f>VLOOKUP(N37,retICA[],3,FALSE)</f>
        <v>471000</v>
      </c>
      <c r="P37" s="133" t="str">
        <f t="shared" si="80"/>
        <v>APLICA</v>
      </c>
      <c r="Q37" s="134">
        <f>VLOOKUP(N37,retICA[],4,FALSE)</f>
        <v>6.0000000000000001E-3</v>
      </c>
      <c r="R37" s="130">
        <f t="shared" si="77"/>
        <v>3856.6379999999999</v>
      </c>
      <c r="S37" s="135">
        <f t="shared" si="78"/>
        <v>744974.36199999996</v>
      </c>
      <c r="T37" s="136"/>
      <c r="U37" s="135">
        <f t="shared" si="79"/>
        <v>3856.6380000000354</v>
      </c>
    </row>
    <row r="38" spans="1:21" s="137" customFormat="1" ht="28.5" x14ac:dyDescent="0.2">
      <c r="A38" s="124"/>
      <c r="B38" s="125" t="s">
        <v>10</v>
      </c>
      <c r="C38" s="126">
        <v>1126456991</v>
      </c>
      <c r="D38" s="127" t="s">
        <v>103</v>
      </c>
      <c r="E38" s="128">
        <v>45838</v>
      </c>
      <c r="F38" s="129">
        <v>9061</v>
      </c>
      <c r="G38" s="130">
        <v>3446050</v>
      </c>
      <c r="H38" s="131">
        <v>2957983</v>
      </c>
      <c r="I38" s="132" t="s">
        <v>27</v>
      </c>
      <c r="J38" s="151">
        <f>VLOOKUP(I38,retfuente[],3,FALSE)</f>
        <v>1344573</v>
      </c>
      <c r="K38" s="48" t="str">
        <f t="shared" si="3"/>
        <v>APLICA</v>
      </c>
      <c r="L38" s="134">
        <f>VLOOKUP(I38,retfuente[],4,FALSE)</f>
        <v>2.5000000000000001E-2</v>
      </c>
      <c r="M38" s="130">
        <f t="shared" si="76"/>
        <v>73949.574999999997</v>
      </c>
      <c r="N38" s="132" t="s">
        <v>77</v>
      </c>
      <c r="O38" s="171">
        <f>VLOOKUP(N38,retICA[],3,FALSE)</f>
        <v>471000</v>
      </c>
      <c r="P38" s="133" t="str">
        <f t="shared" si="80"/>
        <v>APLICA</v>
      </c>
      <c r="Q38" s="134">
        <f>VLOOKUP(N38,retICA[],4,FALSE)</f>
        <v>6.0000000000000001E-3</v>
      </c>
      <c r="R38" s="130">
        <f t="shared" si="77"/>
        <v>17747.898000000001</v>
      </c>
      <c r="S38" s="135">
        <f t="shared" si="78"/>
        <v>3354352.5269999998</v>
      </c>
      <c r="T38" s="136"/>
      <c r="U38" s="135">
        <f t="shared" si="79"/>
        <v>91697.473000000231</v>
      </c>
    </row>
    <row r="39" spans="1:21" ht="28.5" x14ac:dyDescent="0.2">
      <c r="B39" s="154" t="s">
        <v>10</v>
      </c>
      <c r="C39" s="157">
        <v>1126456991</v>
      </c>
      <c r="D39" s="157" t="s">
        <v>103</v>
      </c>
      <c r="E39" s="160">
        <v>45846</v>
      </c>
      <c r="F39" s="163">
        <v>6955</v>
      </c>
      <c r="G39" s="167">
        <v>2778378</v>
      </c>
      <c r="H39" s="167">
        <v>2384874</v>
      </c>
      <c r="I39" s="170" t="s">
        <v>27</v>
      </c>
      <c r="J39" s="171">
        <f>VLOOKUP(I39,retfuente4[#All],3,FALSE)</f>
        <v>498000</v>
      </c>
      <c r="K39" s="48" t="str">
        <f t="shared" ref="K39" si="81">IF(J39&gt;=H39,"NO APLICA","APLICA")</f>
        <v>APLICA</v>
      </c>
      <c r="L39" s="134">
        <f>VLOOKUP(I39,retfuente4[#All],4,FALSE)</f>
        <v>2.5000000000000001E-2</v>
      </c>
      <c r="M39" s="130">
        <f t="shared" ref="M39" si="82">IF(K39="APLICA",H39*L39,0)</f>
        <v>59621.850000000006</v>
      </c>
      <c r="N39" s="132" t="s">
        <v>77</v>
      </c>
      <c r="O39" s="172">
        <f t="shared" ref="O39:O70" si="83">VLOOKUP(N39,RETEICAJULIO2025,3,FALSE)</f>
        <v>498000</v>
      </c>
      <c r="P39" s="133" t="str">
        <f t="shared" ref="P39" si="84">IF($P$3&gt;=H39,"NO APLICA","APLICA")</f>
        <v>APLICA</v>
      </c>
      <c r="Q39" s="134">
        <f t="shared" ref="Q39:Q70" si="85">VLOOKUP(N39,RETEICAJULIO2025,4,FALSE)</f>
        <v>6.0000000000000001E-3</v>
      </c>
      <c r="R39" s="130">
        <f t="shared" si="77"/>
        <v>14309.244000000001</v>
      </c>
      <c r="S39" s="135">
        <f t="shared" ref="S39" si="86">G39-(R39+M39)</f>
        <v>2704446.906</v>
      </c>
      <c r="T39" s="136"/>
      <c r="U39" s="135">
        <f t="shared" ref="U39" si="87">G39-S39</f>
        <v>73931.094000000041</v>
      </c>
    </row>
    <row r="40" spans="1:21" ht="28.5" x14ac:dyDescent="0.2">
      <c r="B40" s="155" t="s">
        <v>10</v>
      </c>
      <c r="C40" s="158">
        <v>1126456991</v>
      </c>
      <c r="D40" s="158" t="s">
        <v>103</v>
      </c>
      <c r="E40" s="161">
        <v>45848</v>
      </c>
      <c r="F40" s="164">
        <v>9337</v>
      </c>
      <c r="G40" s="168">
        <v>44000</v>
      </c>
      <c r="H40" s="168">
        <v>36975</v>
      </c>
      <c r="I40" s="170" t="s">
        <v>27</v>
      </c>
      <c r="J40" s="171">
        <f>VLOOKUP(I40,retfuente4[#All],3,FALSE)</f>
        <v>498000</v>
      </c>
      <c r="K40" s="48" t="str">
        <f t="shared" ref="K40:K64" si="88">IF(J40&gt;=H40,"NO APLICA","APLICA")</f>
        <v>NO APLICA</v>
      </c>
      <c r="L40" s="134">
        <f>VLOOKUP(I40,retfuente4[#All],4,FALSE)</f>
        <v>2.5000000000000001E-2</v>
      </c>
      <c r="M40" s="130">
        <f t="shared" ref="M40:M64" si="89">IF(K40="APLICA",H40*L40,0)</f>
        <v>0</v>
      </c>
      <c r="N40" s="132" t="s">
        <v>77</v>
      </c>
      <c r="O40" s="172">
        <f t="shared" si="83"/>
        <v>498000</v>
      </c>
      <c r="P40" s="133" t="str">
        <f t="shared" ref="P40:P64" si="90">IF($P$3&gt;=H40,"NO APLICA","APLICA")</f>
        <v>NO APLICA</v>
      </c>
      <c r="Q40" s="134">
        <f t="shared" si="85"/>
        <v>6.0000000000000001E-3</v>
      </c>
      <c r="R40" s="130">
        <f t="shared" ref="R40:R64" si="91">IF(P40="APLICA",H40*Q40,0)</f>
        <v>0</v>
      </c>
      <c r="S40" s="135">
        <f t="shared" ref="S40:S64" si="92">G40-(R40+M40)</f>
        <v>44000</v>
      </c>
      <c r="T40" s="136"/>
      <c r="U40" s="135">
        <f t="shared" ref="U40:U64" si="93">G40-S40</f>
        <v>0</v>
      </c>
    </row>
    <row r="41" spans="1:21" ht="28.5" x14ac:dyDescent="0.2">
      <c r="B41" s="154" t="s">
        <v>10</v>
      </c>
      <c r="C41" s="157">
        <v>1126456991</v>
      </c>
      <c r="D41" s="157" t="s">
        <v>103</v>
      </c>
      <c r="E41" s="160">
        <v>45849</v>
      </c>
      <c r="F41" s="163">
        <v>7054</v>
      </c>
      <c r="G41" s="167">
        <v>1305975</v>
      </c>
      <c r="H41" s="167">
        <v>1121008</v>
      </c>
      <c r="I41" s="170" t="s">
        <v>27</v>
      </c>
      <c r="J41" s="171">
        <f>VLOOKUP(I41,retfuente4[#All],3,FALSE)</f>
        <v>498000</v>
      </c>
      <c r="K41" s="48" t="str">
        <f t="shared" si="88"/>
        <v>APLICA</v>
      </c>
      <c r="L41" s="134">
        <f>VLOOKUP(I41,retfuente4[#All],4,FALSE)</f>
        <v>2.5000000000000001E-2</v>
      </c>
      <c r="M41" s="130">
        <f t="shared" si="89"/>
        <v>28025.200000000001</v>
      </c>
      <c r="N41" s="132" t="s">
        <v>77</v>
      </c>
      <c r="O41" s="172">
        <f t="shared" si="83"/>
        <v>498000</v>
      </c>
      <c r="P41" s="133" t="str">
        <f t="shared" si="90"/>
        <v>APLICA</v>
      </c>
      <c r="Q41" s="134">
        <f t="shared" si="85"/>
        <v>6.0000000000000001E-3</v>
      </c>
      <c r="R41" s="130">
        <f t="shared" si="91"/>
        <v>6726.0479999999998</v>
      </c>
      <c r="S41" s="135">
        <f t="shared" si="92"/>
        <v>1271223.7520000001</v>
      </c>
      <c r="T41" s="136"/>
      <c r="U41" s="135">
        <f t="shared" si="93"/>
        <v>34751.247999999905</v>
      </c>
    </row>
    <row r="42" spans="1:21" ht="28.5" x14ac:dyDescent="0.2">
      <c r="B42" s="155" t="s">
        <v>3</v>
      </c>
      <c r="C42" s="158" t="s">
        <v>4</v>
      </c>
      <c r="D42" s="158" t="s">
        <v>105</v>
      </c>
      <c r="E42" s="161">
        <v>45852</v>
      </c>
      <c r="F42" s="164" t="s">
        <v>174</v>
      </c>
      <c r="G42" s="168">
        <v>2098231</v>
      </c>
      <c r="H42" s="168">
        <v>1763219.33</v>
      </c>
      <c r="I42" s="170" t="s">
        <v>27</v>
      </c>
      <c r="J42" s="171">
        <f>VLOOKUP(I42,retfuente4[#All],3,FALSE)</f>
        <v>498000</v>
      </c>
      <c r="K42" s="48" t="str">
        <f t="shared" si="88"/>
        <v>APLICA</v>
      </c>
      <c r="L42" s="134">
        <f>VLOOKUP(I42,retfuente4[#All],4,FALSE)</f>
        <v>2.5000000000000001E-2</v>
      </c>
      <c r="M42" s="130">
        <f t="shared" si="89"/>
        <v>44080.483250000005</v>
      </c>
      <c r="N42" s="132" t="s">
        <v>77</v>
      </c>
      <c r="O42" s="172">
        <f t="shared" si="83"/>
        <v>498000</v>
      </c>
      <c r="P42" s="133" t="str">
        <f t="shared" si="90"/>
        <v>APLICA</v>
      </c>
      <c r="Q42" s="134">
        <f t="shared" si="85"/>
        <v>6.0000000000000001E-3</v>
      </c>
      <c r="R42" s="130">
        <f t="shared" si="91"/>
        <v>10579.315980000001</v>
      </c>
      <c r="S42" s="135">
        <f t="shared" si="92"/>
        <v>2043571.20077</v>
      </c>
      <c r="T42" s="136"/>
      <c r="U42" s="135">
        <f t="shared" si="93"/>
        <v>54659.799230000004</v>
      </c>
    </row>
    <row r="43" spans="1:21" ht="28.5" x14ac:dyDescent="0.2">
      <c r="B43" s="155" t="s">
        <v>3</v>
      </c>
      <c r="C43" s="158" t="s">
        <v>4</v>
      </c>
      <c r="D43" s="158" t="s">
        <v>101</v>
      </c>
      <c r="E43" s="161">
        <v>45852</v>
      </c>
      <c r="F43" s="165" t="s">
        <v>175</v>
      </c>
      <c r="G43" s="168">
        <v>230059</v>
      </c>
      <c r="H43" s="168">
        <v>193326.89</v>
      </c>
      <c r="I43" s="170" t="s">
        <v>27</v>
      </c>
      <c r="J43" s="171">
        <f>VLOOKUP(I43,retfuente4[#All],3,FALSE)</f>
        <v>498000</v>
      </c>
      <c r="K43" s="48" t="str">
        <f t="shared" si="88"/>
        <v>NO APLICA</v>
      </c>
      <c r="L43" s="134">
        <f>VLOOKUP(I43,retfuente4[#All],4,FALSE)</f>
        <v>2.5000000000000001E-2</v>
      </c>
      <c r="M43" s="130">
        <f t="shared" si="89"/>
        <v>0</v>
      </c>
      <c r="N43" s="132" t="s">
        <v>77</v>
      </c>
      <c r="O43" s="172">
        <f t="shared" si="83"/>
        <v>498000</v>
      </c>
      <c r="P43" s="133" t="str">
        <f t="shared" si="90"/>
        <v>NO APLICA</v>
      </c>
      <c r="Q43" s="134">
        <f t="shared" si="85"/>
        <v>6.0000000000000001E-3</v>
      </c>
      <c r="R43" s="130">
        <f t="shared" si="91"/>
        <v>0</v>
      </c>
      <c r="S43" s="135">
        <f t="shared" si="92"/>
        <v>230059</v>
      </c>
      <c r="T43" s="136"/>
      <c r="U43" s="135">
        <f t="shared" si="93"/>
        <v>0</v>
      </c>
    </row>
    <row r="44" spans="1:21" ht="28.5" x14ac:dyDescent="0.2">
      <c r="B44" s="155" t="s">
        <v>5</v>
      </c>
      <c r="C44" s="158">
        <v>1124848579</v>
      </c>
      <c r="D44" s="188"/>
      <c r="E44" s="161">
        <v>45852</v>
      </c>
      <c r="F44" s="164">
        <v>125699</v>
      </c>
      <c r="G44" s="168">
        <v>569940</v>
      </c>
      <c r="H44" s="168">
        <v>478941</v>
      </c>
      <c r="I44" s="170" t="s">
        <v>27</v>
      </c>
      <c r="J44" s="171">
        <f>VLOOKUP(I44,retfuente4[#All],3,FALSE)</f>
        <v>498000</v>
      </c>
      <c r="K44" s="48" t="str">
        <f t="shared" si="88"/>
        <v>NO APLICA</v>
      </c>
      <c r="L44" s="134">
        <f>VLOOKUP(I44,retfuente4[#All],4,FALSE)</f>
        <v>2.5000000000000001E-2</v>
      </c>
      <c r="M44" s="130">
        <f t="shared" si="89"/>
        <v>0</v>
      </c>
      <c r="N44" s="132" t="s">
        <v>77</v>
      </c>
      <c r="O44" s="172">
        <f t="shared" si="83"/>
        <v>498000</v>
      </c>
      <c r="P44" s="133" t="str">
        <f t="shared" si="90"/>
        <v>NO APLICA</v>
      </c>
      <c r="Q44" s="134">
        <f t="shared" si="85"/>
        <v>6.0000000000000001E-3</v>
      </c>
      <c r="R44" s="130">
        <f t="shared" si="91"/>
        <v>0</v>
      </c>
      <c r="S44" s="135">
        <f t="shared" si="92"/>
        <v>569940</v>
      </c>
      <c r="T44" s="136"/>
      <c r="U44" s="135">
        <f t="shared" si="93"/>
        <v>0</v>
      </c>
    </row>
    <row r="45" spans="1:21" ht="28.5" x14ac:dyDescent="0.2">
      <c r="B45" s="138" t="s">
        <v>5</v>
      </c>
      <c r="C45" s="113">
        <v>1124848579</v>
      </c>
      <c r="D45" s="113" t="s">
        <v>173</v>
      </c>
      <c r="E45" s="139">
        <v>45856</v>
      </c>
      <c r="F45" s="140">
        <v>126551</v>
      </c>
      <c r="G45" s="117">
        <v>1725000</v>
      </c>
      <c r="H45" s="117">
        <v>1449580</v>
      </c>
      <c r="I45" s="170" t="s">
        <v>27</v>
      </c>
      <c r="J45" s="171">
        <f>VLOOKUP(I45,retfuente4[#All],3,FALSE)</f>
        <v>498000</v>
      </c>
      <c r="K45" s="48" t="str">
        <f t="shared" si="88"/>
        <v>APLICA</v>
      </c>
      <c r="L45" s="134">
        <f>VLOOKUP(I45,retfuente4[#All],4,FALSE)</f>
        <v>2.5000000000000001E-2</v>
      </c>
      <c r="M45" s="130">
        <f t="shared" si="89"/>
        <v>36239.5</v>
      </c>
      <c r="N45" s="132" t="s">
        <v>77</v>
      </c>
      <c r="O45" s="172">
        <f t="shared" si="83"/>
        <v>498000</v>
      </c>
      <c r="P45" s="133" t="str">
        <f t="shared" si="90"/>
        <v>APLICA</v>
      </c>
      <c r="Q45" s="134">
        <f t="shared" si="85"/>
        <v>6.0000000000000001E-3</v>
      </c>
      <c r="R45" s="130">
        <f t="shared" si="91"/>
        <v>8697.48</v>
      </c>
      <c r="S45" s="135">
        <f t="shared" si="92"/>
        <v>1680063.02</v>
      </c>
      <c r="T45" s="136"/>
      <c r="U45" s="135">
        <f t="shared" si="93"/>
        <v>44936.979999999981</v>
      </c>
    </row>
    <row r="46" spans="1:21" ht="28.5" x14ac:dyDescent="0.2">
      <c r="B46" s="138" t="s">
        <v>5</v>
      </c>
      <c r="C46" s="113">
        <v>1124848579</v>
      </c>
      <c r="D46" s="113" t="s">
        <v>173</v>
      </c>
      <c r="E46" s="139">
        <v>45856</v>
      </c>
      <c r="F46" s="140">
        <v>126558</v>
      </c>
      <c r="G46" s="117">
        <v>697569</v>
      </c>
      <c r="H46" s="117">
        <v>586192</v>
      </c>
      <c r="I46" s="170" t="s">
        <v>27</v>
      </c>
      <c r="J46" s="171">
        <f>VLOOKUP(I46,retfuente4[#All],3,FALSE)</f>
        <v>498000</v>
      </c>
      <c r="K46" s="48" t="str">
        <f t="shared" si="88"/>
        <v>APLICA</v>
      </c>
      <c r="L46" s="134">
        <f>VLOOKUP(I46,retfuente4[#All],4,FALSE)</f>
        <v>2.5000000000000001E-2</v>
      </c>
      <c r="M46" s="130">
        <f t="shared" si="89"/>
        <v>14654.800000000001</v>
      </c>
      <c r="N46" s="132" t="s">
        <v>77</v>
      </c>
      <c r="O46" s="172">
        <f t="shared" si="83"/>
        <v>498000</v>
      </c>
      <c r="P46" s="133" t="str">
        <f t="shared" si="90"/>
        <v>APLICA</v>
      </c>
      <c r="Q46" s="134">
        <f t="shared" si="85"/>
        <v>6.0000000000000001E-3</v>
      </c>
      <c r="R46" s="130">
        <f t="shared" si="91"/>
        <v>3517.152</v>
      </c>
      <c r="S46" s="135">
        <f t="shared" si="92"/>
        <v>679397.04799999995</v>
      </c>
      <c r="T46" s="136"/>
      <c r="U46" s="135">
        <f t="shared" si="93"/>
        <v>18171.952000000048</v>
      </c>
    </row>
    <row r="47" spans="1:21" ht="28.5" x14ac:dyDescent="0.2">
      <c r="B47" s="155" t="s">
        <v>10</v>
      </c>
      <c r="C47" s="158">
        <v>1126456991</v>
      </c>
      <c r="D47" s="158" t="s">
        <v>103</v>
      </c>
      <c r="E47" s="161">
        <v>45856</v>
      </c>
      <c r="F47" s="164">
        <v>9529</v>
      </c>
      <c r="G47" s="168">
        <v>157500</v>
      </c>
      <c r="H47" s="168">
        <v>132353</v>
      </c>
      <c r="I47" s="170" t="s">
        <v>27</v>
      </c>
      <c r="J47" s="171">
        <f>VLOOKUP(I47,retfuente4[#All],3,FALSE)</f>
        <v>498000</v>
      </c>
      <c r="K47" s="48" t="str">
        <f t="shared" si="88"/>
        <v>NO APLICA</v>
      </c>
      <c r="L47" s="134">
        <f>VLOOKUP(I47,retfuente4[#All],4,FALSE)</f>
        <v>2.5000000000000001E-2</v>
      </c>
      <c r="M47" s="130">
        <f t="shared" si="89"/>
        <v>0</v>
      </c>
      <c r="N47" s="132" t="s">
        <v>77</v>
      </c>
      <c r="O47" s="172">
        <f t="shared" si="83"/>
        <v>498000</v>
      </c>
      <c r="P47" s="133" t="str">
        <f t="shared" si="90"/>
        <v>NO APLICA</v>
      </c>
      <c r="Q47" s="134">
        <f t="shared" si="85"/>
        <v>6.0000000000000001E-3</v>
      </c>
      <c r="R47" s="130">
        <f t="shared" si="91"/>
        <v>0</v>
      </c>
      <c r="S47" s="135">
        <f t="shared" si="92"/>
        <v>157500</v>
      </c>
      <c r="T47" s="136"/>
      <c r="U47" s="135">
        <f t="shared" si="93"/>
        <v>0</v>
      </c>
    </row>
    <row r="48" spans="1:21" ht="28.5" x14ac:dyDescent="0.2">
      <c r="B48" s="155" t="s">
        <v>3</v>
      </c>
      <c r="C48" s="158" t="s">
        <v>4</v>
      </c>
      <c r="D48" s="158" t="s">
        <v>105</v>
      </c>
      <c r="E48" s="161">
        <v>45856</v>
      </c>
      <c r="F48" s="165" t="s">
        <v>176</v>
      </c>
      <c r="G48" s="168">
        <v>161818</v>
      </c>
      <c r="H48" s="168">
        <v>98166.39</v>
      </c>
      <c r="I48" s="170" t="s">
        <v>27</v>
      </c>
      <c r="J48" s="171">
        <f>VLOOKUP(I48,retfuente4[#All],3,FALSE)</f>
        <v>498000</v>
      </c>
      <c r="K48" s="48" t="str">
        <f t="shared" si="88"/>
        <v>NO APLICA</v>
      </c>
      <c r="L48" s="134">
        <f>VLOOKUP(I48,retfuente4[#All],4,FALSE)</f>
        <v>2.5000000000000001E-2</v>
      </c>
      <c r="M48" s="130">
        <f t="shared" si="89"/>
        <v>0</v>
      </c>
      <c r="N48" s="132" t="s">
        <v>77</v>
      </c>
      <c r="O48" s="172">
        <f t="shared" si="83"/>
        <v>498000</v>
      </c>
      <c r="P48" s="133" t="str">
        <f t="shared" si="90"/>
        <v>NO APLICA</v>
      </c>
      <c r="Q48" s="134">
        <f t="shared" si="85"/>
        <v>6.0000000000000001E-3</v>
      </c>
      <c r="R48" s="130">
        <f t="shared" si="91"/>
        <v>0</v>
      </c>
      <c r="S48" s="135">
        <f t="shared" si="92"/>
        <v>161818</v>
      </c>
      <c r="T48" s="136"/>
      <c r="U48" s="135">
        <f t="shared" si="93"/>
        <v>0</v>
      </c>
    </row>
    <row r="49" spans="2:21" ht="28.5" x14ac:dyDescent="0.2">
      <c r="B49" s="156" t="s">
        <v>168</v>
      </c>
      <c r="C49" s="159">
        <v>901517169</v>
      </c>
      <c r="D49" s="190"/>
      <c r="E49" s="162">
        <v>45859</v>
      </c>
      <c r="F49" s="166" t="s">
        <v>177</v>
      </c>
      <c r="G49" s="169">
        <v>5821199.1799999997</v>
      </c>
      <c r="H49" s="167">
        <v>5022604.99</v>
      </c>
      <c r="I49" s="170" t="s">
        <v>27</v>
      </c>
      <c r="J49" s="171">
        <f>VLOOKUP(I49,retfuente4[#All],3,FALSE)</f>
        <v>498000</v>
      </c>
      <c r="K49" s="48" t="str">
        <f t="shared" si="88"/>
        <v>APLICA</v>
      </c>
      <c r="L49" s="134">
        <f>VLOOKUP(I49,retfuente4[#All],4,FALSE)</f>
        <v>2.5000000000000001E-2</v>
      </c>
      <c r="M49" s="130">
        <f t="shared" si="89"/>
        <v>125565.12475000002</v>
      </c>
      <c r="N49" s="132" t="s">
        <v>77</v>
      </c>
      <c r="O49" s="172">
        <f t="shared" si="83"/>
        <v>498000</v>
      </c>
      <c r="P49" s="133" t="str">
        <f t="shared" si="90"/>
        <v>APLICA</v>
      </c>
      <c r="Q49" s="134">
        <f t="shared" si="85"/>
        <v>6.0000000000000001E-3</v>
      </c>
      <c r="R49" s="130">
        <f t="shared" si="91"/>
        <v>30135.629940000003</v>
      </c>
      <c r="S49" s="135">
        <f t="shared" si="92"/>
        <v>5665498.4253099998</v>
      </c>
      <c r="T49" s="136"/>
      <c r="U49" s="135">
        <f t="shared" si="93"/>
        <v>155700.75468999986</v>
      </c>
    </row>
    <row r="50" spans="2:21" ht="28.5" x14ac:dyDescent="0.2">
      <c r="B50" s="156" t="s">
        <v>169</v>
      </c>
      <c r="C50" s="159" t="s">
        <v>171</v>
      </c>
      <c r="D50" s="190"/>
      <c r="E50" s="162">
        <v>45859</v>
      </c>
      <c r="F50" s="166" t="s">
        <v>178</v>
      </c>
      <c r="G50" s="169">
        <v>1488135.63</v>
      </c>
      <c r="H50" s="167">
        <v>1277369.6399999999</v>
      </c>
      <c r="I50" s="170" t="s">
        <v>27</v>
      </c>
      <c r="J50" s="171">
        <f>VLOOKUP(I50,retfuente4[#All],3,FALSE)</f>
        <v>498000</v>
      </c>
      <c r="K50" s="48" t="str">
        <f t="shared" si="88"/>
        <v>APLICA</v>
      </c>
      <c r="L50" s="134">
        <f>VLOOKUP(I50,retfuente4[#All],4,FALSE)</f>
        <v>2.5000000000000001E-2</v>
      </c>
      <c r="M50" s="130">
        <f t="shared" si="89"/>
        <v>31934.240999999998</v>
      </c>
      <c r="N50" s="132" t="s">
        <v>77</v>
      </c>
      <c r="O50" s="172">
        <f t="shared" si="83"/>
        <v>498000</v>
      </c>
      <c r="P50" s="133" t="str">
        <f t="shared" si="90"/>
        <v>APLICA</v>
      </c>
      <c r="Q50" s="134">
        <f t="shared" si="85"/>
        <v>6.0000000000000001E-3</v>
      </c>
      <c r="R50" s="130">
        <f t="shared" si="91"/>
        <v>7664.2178399999993</v>
      </c>
      <c r="S50" s="135">
        <f t="shared" si="92"/>
        <v>1448537.1711599999</v>
      </c>
      <c r="T50" s="136"/>
      <c r="U50" s="135">
        <f t="shared" si="93"/>
        <v>39598.458839999977</v>
      </c>
    </row>
    <row r="51" spans="2:21" ht="28.5" x14ac:dyDescent="0.2">
      <c r="B51" s="155" t="s">
        <v>10</v>
      </c>
      <c r="C51" s="158">
        <v>1126456991</v>
      </c>
      <c r="D51" s="158" t="s">
        <v>103</v>
      </c>
      <c r="E51" s="161">
        <v>45860</v>
      </c>
      <c r="F51" s="164">
        <v>12344</v>
      </c>
      <c r="G51" s="168">
        <v>80000</v>
      </c>
      <c r="H51" s="168">
        <v>67227</v>
      </c>
      <c r="I51" s="170" t="s">
        <v>27</v>
      </c>
      <c r="J51" s="171">
        <f>VLOOKUP(I51,retfuente4[#All],3,FALSE)</f>
        <v>498000</v>
      </c>
      <c r="K51" s="48" t="str">
        <f t="shared" si="88"/>
        <v>NO APLICA</v>
      </c>
      <c r="L51" s="134">
        <f>VLOOKUP(I51,retfuente4[#All],4,FALSE)</f>
        <v>2.5000000000000001E-2</v>
      </c>
      <c r="M51" s="130">
        <f t="shared" si="89"/>
        <v>0</v>
      </c>
      <c r="N51" s="132" t="s">
        <v>77</v>
      </c>
      <c r="O51" s="172">
        <f t="shared" si="83"/>
        <v>498000</v>
      </c>
      <c r="P51" s="133" t="str">
        <f t="shared" si="90"/>
        <v>NO APLICA</v>
      </c>
      <c r="Q51" s="134">
        <f t="shared" si="85"/>
        <v>6.0000000000000001E-3</v>
      </c>
      <c r="R51" s="130">
        <f t="shared" si="91"/>
        <v>0</v>
      </c>
      <c r="S51" s="135">
        <f t="shared" si="92"/>
        <v>80000</v>
      </c>
      <c r="T51" s="136"/>
      <c r="U51" s="135">
        <f t="shared" si="93"/>
        <v>0</v>
      </c>
    </row>
    <row r="52" spans="2:21" ht="28.5" x14ac:dyDescent="0.2">
      <c r="B52" s="155" t="s">
        <v>3</v>
      </c>
      <c r="C52" s="158" t="s">
        <v>4</v>
      </c>
      <c r="D52" s="188"/>
      <c r="E52" s="161">
        <v>45860</v>
      </c>
      <c r="F52" s="165" t="s">
        <v>179</v>
      </c>
      <c r="G52" s="168">
        <v>2448685</v>
      </c>
      <c r="H52" s="168">
        <v>2057718.49</v>
      </c>
      <c r="I52" s="170" t="s">
        <v>27</v>
      </c>
      <c r="J52" s="171">
        <f>VLOOKUP(I52,retfuente4[#All],3,FALSE)</f>
        <v>498000</v>
      </c>
      <c r="K52" s="48" t="str">
        <f t="shared" si="88"/>
        <v>APLICA</v>
      </c>
      <c r="L52" s="134">
        <f>VLOOKUP(I52,retfuente4[#All],4,FALSE)</f>
        <v>2.5000000000000001E-2</v>
      </c>
      <c r="M52" s="130">
        <f t="shared" si="89"/>
        <v>51442.962250000004</v>
      </c>
      <c r="N52" s="132" t="s">
        <v>77</v>
      </c>
      <c r="O52" s="172">
        <f t="shared" si="83"/>
        <v>498000</v>
      </c>
      <c r="P52" s="133" t="str">
        <f t="shared" si="90"/>
        <v>APLICA</v>
      </c>
      <c r="Q52" s="134">
        <f t="shared" si="85"/>
        <v>6.0000000000000001E-3</v>
      </c>
      <c r="R52" s="130">
        <f t="shared" si="91"/>
        <v>12346.310939999999</v>
      </c>
      <c r="S52" s="135">
        <f t="shared" si="92"/>
        <v>2384895.7268099999</v>
      </c>
      <c r="T52" s="136"/>
      <c r="U52" s="135">
        <f t="shared" si="93"/>
        <v>63789.273190000094</v>
      </c>
    </row>
    <row r="53" spans="2:21" ht="28.5" x14ac:dyDescent="0.2">
      <c r="B53" s="155" t="s">
        <v>10</v>
      </c>
      <c r="C53" s="158">
        <v>1126456991</v>
      </c>
      <c r="D53" s="158" t="s">
        <v>103</v>
      </c>
      <c r="E53" s="161">
        <v>45862</v>
      </c>
      <c r="F53" s="164">
        <v>9703</v>
      </c>
      <c r="G53" s="168">
        <v>28000</v>
      </c>
      <c r="H53" s="168">
        <v>23529</v>
      </c>
      <c r="I53" s="170" t="s">
        <v>27</v>
      </c>
      <c r="J53" s="171">
        <f>VLOOKUP(I53,retfuente4[#All],3,FALSE)</f>
        <v>498000</v>
      </c>
      <c r="K53" s="48" t="str">
        <f t="shared" si="88"/>
        <v>NO APLICA</v>
      </c>
      <c r="L53" s="134">
        <f>VLOOKUP(I53,retfuente4[#All],4,FALSE)</f>
        <v>2.5000000000000001E-2</v>
      </c>
      <c r="M53" s="130">
        <f t="shared" si="89"/>
        <v>0</v>
      </c>
      <c r="N53" s="132" t="s">
        <v>77</v>
      </c>
      <c r="O53" s="172">
        <f t="shared" si="83"/>
        <v>498000</v>
      </c>
      <c r="P53" s="133" t="str">
        <f t="shared" si="90"/>
        <v>NO APLICA</v>
      </c>
      <c r="Q53" s="134">
        <f t="shared" si="85"/>
        <v>6.0000000000000001E-3</v>
      </c>
      <c r="R53" s="130">
        <f t="shared" si="91"/>
        <v>0</v>
      </c>
      <c r="S53" s="135">
        <f t="shared" si="92"/>
        <v>28000</v>
      </c>
      <c r="T53" s="136"/>
      <c r="U53" s="135">
        <f t="shared" si="93"/>
        <v>0</v>
      </c>
    </row>
    <row r="54" spans="2:21" ht="28.5" x14ac:dyDescent="0.2">
      <c r="B54" s="154" t="s">
        <v>169</v>
      </c>
      <c r="C54" s="157" t="s">
        <v>171</v>
      </c>
      <c r="D54" s="157" t="s">
        <v>101</v>
      </c>
      <c r="E54" s="160">
        <v>45863</v>
      </c>
      <c r="F54" s="163" t="s">
        <v>180</v>
      </c>
      <c r="G54" s="167">
        <v>36448431.5</v>
      </c>
      <c r="H54" s="167">
        <v>31286207.289999999</v>
      </c>
      <c r="I54" s="170" t="s">
        <v>27</v>
      </c>
      <c r="J54" s="171">
        <f>VLOOKUP(I54,retfuente4[#All],3,FALSE)</f>
        <v>498000</v>
      </c>
      <c r="K54" s="48" t="str">
        <f t="shared" si="88"/>
        <v>APLICA</v>
      </c>
      <c r="L54" s="134">
        <f>VLOOKUP(I54,retfuente4[#All],4,FALSE)</f>
        <v>2.5000000000000001E-2</v>
      </c>
      <c r="M54" s="130">
        <f t="shared" si="89"/>
        <v>782155.18225000007</v>
      </c>
      <c r="N54" s="132" t="s">
        <v>77</v>
      </c>
      <c r="O54" s="172">
        <f t="shared" si="83"/>
        <v>498000</v>
      </c>
      <c r="P54" s="133" t="str">
        <f t="shared" si="90"/>
        <v>APLICA</v>
      </c>
      <c r="Q54" s="134">
        <f t="shared" si="85"/>
        <v>6.0000000000000001E-3</v>
      </c>
      <c r="R54" s="130">
        <f t="shared" si="91"/>
        <v>187717.24374000001</v>
      </c>
      <c r="S54" s="135">
        <f t="shared" si="92"/>
        <v>35478559.07401</v>
      </c>
      <c r="T54" s="136"/>
      <c r="U54" s="135">
        <f t="shared" si="93"/>
        <v>969872.42599000037</v>
      </c>
    </row>
    <row r="55" spans="2:21" ht="28.5" x14ac:dyDescent="0.2">
      <c r="B55" s="154" t="s">
        <v>10</v>
      </c>
      <c r="C55" s="157">
        <v>1126456991</v>
      </c>
      <c r="D55" s="157" t="s">
        <v>103</v>
      </c>
      <c r="E55" s="160">
        <v>45863</v>
      </c>
      <c r="F55" s="163">
        <v>12435</v>
      </c>
      <c r="G55" s="167">
        <v>8470235</v>
      </c>
      <c r="H55" s="167">
        <v>7270588</v>
      </c>
      <c r="I55" s="170" t="s">
        <v>27</v>
      </c>
      <c r="J55" s="171">
        <f>VLOOKUP(I55,retfuente4[#All],3,FALSE)</f>
        <v>498000</v>
      </c>
      <c r="K55" s="48" t="str">
        <f t="shared" si="88"/>
        <v>APLICA</v>
      </c>
      <c r="L55" s="134">
        <f>VLOOKUP(I55,retfuente4[#All],4,FALSE)</f>
        <v>2.5000000000000001E-2</v>
      </c>
      <c r="M55" s="130">
        <f t="shared" si="89"/>
        <v>181764.7</v>
      </c>
      <c r="N55" s="132" t="s">
        <v>77</v>
      </c>
      <c r="O55" s="172">
        <f t="shared" si="83"/>
        <v>498000</v>
      </c>
      <c r="P55" s="133" t="str">
        <f t="shared" si="90"/>
        <v>APLICA</v>
      </c>
      <c r="Q55" s="134">
        <f t="shared" si="85"/>
        <v>6.0000000000000001E-3</v>
      </c>
      <c r="R55" s="130">
        <f t="shared" si="91"/>
        <v>43623.527999999998</v>
      </c>
      <c r="S55" s="135">
        <f t="shared" si="92"/>
        <v>8244846.7719999999</v>
      </c>
      <c r="T55" s="136"/>
      <c r="U55" s="135">
        <f t="shared" si="93"/>
        <v>225388.22800000012</v>
      </c>
    </row>
    <row r="56" spans="2:21" ht="28.5" x14ac:dyDescent="0.2">
      <c r="B56" s="155" t="s">
        <v>10</v>
      </c>
      <c r="C56" s="158">
        <v>1126456991</v>
      </c>
      <c r="D56" s="158" t="s">
        <v>103</v>
      </c>
      <c r="E56" s="161">
        <v>45863</v>
      </c>
      <c r="F56" s="164">
        <v>7406</v>
      </c>
      <c r="G56" s="168">
        <v>83000</v>
      </c>
      <c r="H56" s="168">
        <v>69748</v>
      </c>
      <c r="I56" s="170" t="s">
        <v>27</v>
      </c>
      <c r="J56" s="171">
        <f>VLOOKUP(I56,retfuente4[#All],3,FALSE)</f>
        <v>498000</v>
      </c>
      <c r="K56" s="48" t="str">
        <f t="shared" si="88"/>
        <v>NO APLICA</v>
      </c>
      <c r="L56" s="134">
        <f>VLOOKUP(I56,retfuente4[#All],4,FALSE)</f>
        <v>2.5000000000000001E-2</v>
      </c>
      <c r="M56" s="130">
        <f t="shared" si="89"/>
        <v>0</v>
      </c>
      <c r="N56" s="132" t="s">
        <v>77</v>
      </c>
      <c r="O56" s="172">
        <f t="shared" si="83"/>
        <v>498000</v>
      </c>
      <c r="P56" s="133" t="str">
        <f t="shared" si="90"/>
        <v>NO APLICA</v>
      </c>
      <c r="Q56" s="134">
        <f t="shared" si="85"/>
        <v>6.0000000000000001E-3</v>
      </c>
      <c r="R56" s="130">
        <f t="shared" si="91"/>
        <v>0</v>
      </c>
      <c r="S56" s="135">
        <f t="shared" si="92"/>
        <v>83000</v>
      </c>
      <c r="T56" s="136"/>
      <c r="U56" s="135">
        <f t="shared" si="93"/>
        <v>0</v>
      </c>
    </row>
    <row r="57" spans="2:21" ht="28.5" x14ac:dyDescent="0.2">
      <c r="B57" s="155" t="s">
        <v>3</v>
      </c>
      <c r="C57" s="158" t="s">
        <v>4</v>
      </c>
      <c r="D57" s="188"/>
      <c r="E57" s="161">
        <v>45866</v>
      </c>
      <c r="F57" s="165" t="s">
        <v>181</v>
      </c>
      <c r="G57" s="168">
        <v>1365872</v>
      </c>
      <c r="H57" s="168">
        <v>1147791.6000000001</v>
      </c>
      <c r="I57" s="170" t="s">
        <v>27</v>
      </c>
      <c r="J57" s="171">
        <f>VLOOKUP(I57,retfuente4[#All],3,FALSE)</f>
        <v>498000</v>
      </c>
      <c r="K57" s="48" t="str">
        <f t="shared" si="88"/>
        <v>APLICA</v>
      </c>
      <c r="L57" s="134">
        <f>VLOOKUP(I57,retfuente4[#All],4,FALSE)</f>
        <v>2.5000000000000001E-2</v>
      </c>
      <c r="M57" s="130">
        <f t="shared" si="89"/>
        <v>28694.790000000005</v>
      </c>
      <c r="N57" s="132" t="s">
        <v>77</v>
      </c>
      <c r="O57" s="172">
        <f t="shared" si="83"/>
        <v>498000</v>
      </c>
      <c r="P57" s="133" t="str">
        <f t="shared" si="90"/>
        <v>APLICA</v>
      </c>
      <c r="Q57" s="134">
        <f t="shared" si="85"/>
        <v>6.0000000000000001E-3</v>
      </c>
      <c r="R57" s="130">
        <f t="shared" si="91"/>
        <v>6886.749600000001</v>
      </c>
      <c r="S57" s="135">
        <f t="shared" si="92"/>
        <v>1330290.4604</v>
      </c>
      <c r="T57" s="136"/>
      <c r="U57" s="135">
        <f t="shared" si="93"/>
        <v>35581.539600000018</v>
      </c>
    </row>
    <row r="58" spans="2:21" ht="28.5" x14ac:dyDescent="0.2">
      <c r="B58" s="138" t="s">
        <v>170</v>
      </c>
      <c r="C58" s="113" t="s">
        <v>172</v>
      </c>
      <c r="D58" s="189"/>
      <c r="E58" s="139">
        <v>45867</v>
      </c>
      <c r="F58" s="140">
        <v>12416</v>
      </c>
      <c r="G58" s="117">
        <v>9392700</v>
      </c>
      <c r="H58" s="117">
        <v>7893025.21</v>
      </c>
      <c r="I58" s="170" t="s">
        <v>27</v>
      </c>
      <c r="J58" s="171">
        <f>VLOOKUP(I58,retfuente4[#All],3,FALSE)</f>
        <v>498000</v>
      </c>
      <c r="K58" s="48" t="str">
        <f t="shared" si="88"/>
        <v>APLICA</v>
      </c>
      <c r="L58" s="134">
        <f>VLOOKUP(I58,retfuente4[#All],4,FALSE)</f>
        <v>2.5000000000000001E-2</v>
      </c>
      <c r="M58" s="130">
        <f t="shared" si="89"/>
        <v>197325.63025000002</v>
      </c>
      <c r="N58" s="132" t="s">
        <v>77</v>
      </c>
      <c r="O58" s="172">
        <f t="shared" si="83"/>
        <v>498000</v>
      </c>
      <c r="P58" s="133" t="str">
        <f t="shared" si="90"/>
        <v>APLICA</v>
      </c>
      <c r="Q58" s="134">
        <f t="shared" si="85"/>
        <v>6.0000000000000001E-3</v>
      </c>
      <c r="R58" s="130">
        <f t="shared" si="91"/>
        <v>47358.151259999999</v>
      </c>
      <c r="S58" s="135">
        <f t="shared" si="92"/>
        <v>9148016.2184900008</v>
      </c>
      <c r="T58" s="136"/>
      <c r="U58" s="135">
        <f t="shared" si="93"/>
        <v>244683.78150999919</v>
      </c>
    </row>
    <row r="59" spans="2:21" ht="28.5" x14ac:dyDescent="0.2">
      <c r="B59" s="155" t="s">
        <v>169</v>
      </c>
      <c r="C59" s="158" t="s">
        <v>171</v>
      </c>
      <c r="D59" s="158" t="s">
        <v>101</v>
      </c>
      <c r="E59" s="161">
        <v>45867</v>
      </c>
      <c r="F59" s="91" t="s">
        <v>182</v>
      </c>
      <c r="G59" s="46">
        <v>130000</v>
      </c>
      <c r="H59" s="46">
        <v>109243.7</v>
      </c>
      <c r="I59" s="170" t="s">
        <v>27</v>
      </c>
      <c r="J59" s="171">
        <f>VLOOKUP(I59,retfuente4[#All],3,FALSE)</f>
        <v>498000</v>
      </c>
      <c r="K59" s="48" t="str">
        <f t="shared" si="88"/>
        <v>NO APLICA</v>
      </c>
      <c r="L59" s="134">
        <f>VLOOKUP(I59,retfuente4[#All],4,FALSE)</f>
        <v>2.5000000000000001E-2</v>
      </c>
      <c r="M59" s="130">
        <f t="shared" si="89"/>
        <v>0</v>
      </c>
      <c r="N59" s="132" t="s">
        <v>77</v>
      </c>
      <c r="O59" s="172">
        <f t="shared" si="83"/>
        <v>498000</v>
      </c>
      <c r="P59" s="133" t="str">
        <f t="shared" si="90"/>
        <v>NO APLICA</v>
      </c>
      <c r="Q59" s="134">
        <f t="shared" si="85"/>
        <v>6.0000000000000001E-3</v>
      </c>
      <c r="R59" s="130">
        <f t="shared" si="91"/>
        <v>0</v>
      </c>
      <c r="S59" s="135">
        <f t="shared" si="92"/>
        <v>130000</v>
      </c>
      <c r="T59" s="136"/>
      <c r="U59" s="135">
        <f t="shared" si="93"/>
        <v>0</v>
      </c>
    </row>
    <row r="60" spans="2:21" ht="28.5" x14ac:dyDescent="0.2">
      <c r="B60" s="155" t="s">
        <v>10</v>
      </c>
      <c r="C60" s="158">
        <v>1126456991</v>
      </c>
      <c r="D60" s="158" t="s">
        <v>103</v>
      </c>
      <c r="E60" s="161">
        <v>45867</v>
      </c>
      <c r="F60" s="164">
        <v>12519</v>
      </c>
      <c r="G60" s="168">
        <v>60200</v>
      </c>
      <c r="H60" s="168">
        <v>50588</v>
      </c>
      <c r="I60" s="170" t="s">
        <v>27</v>
      </c>
      <c r="J60" s="171">
        <f>VLOOKUP(I60,retfuente4[#All],3,FALSE)</f>
        <v>498000</v>
      </c>
      <c r="K60" s="48" t="str">
        <f t="shared" si="88"/>
        <v>NO APLICA</v>
      </c>
      <c r="L60" s="134">
        <f>VLOOKUP(I60,retfuente4[#All],4,FALSE)</f>
        <v>2.5000000000000001E-2</v>
      </c>
      <c r="M60" s="130">
        <f t="shared" si="89"/>
        <v>0</v>
      </c>
      <c r="N60" s="132" t="s">
        <v>77</v>
      </c>
      <c r="O60" s="172">
        <f t="shared" si="83"/>
        <v>498000</v>
      </c>
      <c r="P60" s="133" t="str">
        <f t="shared" si="90"/>
        <v>NO APLICA</v>
      </c>
      <c r="Q60" s="134">
        <f t="shared" si="85"/>
        <v>6.0000000000000001E-3</v>
      </c>
      <c r="R60" s="130">
        <f t="shared" si="91"/>
        <v>0</v>
      </c>
      <c r="S60" s="135">
        <f t="shared" si="92"/>
        <v>60200</v>
      </c>
      <c r="T60" s="136"/>
      <c r="U60" s="135">
        <f t="shared" si="93"/>
        <v>0</v>
      </c>
    </row>
    <row r="61" spans="2:21" ht="28.5" x14ac:dyDescent="0.2">
      <c r="B61" s="155" t="s">
        <v>10</v>
      </c>
      <c r="C61" s="158">
        <v>1126456991</v>
      </c>
      <c r="D61" s="158" t="s">
        <v>103</v>
      </c>
      <c r="E61" s="161">
        <v>45867</v>
      </c>
      <c r="F61" s="164">
        <v>12528</v>
      </c>
      <c r="G61" s="168">
        <v>308000</v>
      </c>
      <c r="H61" s="168">
        <v>258824</v>
      </c>
      <c r="I61" s="170" t="s">
        <v>27</v>
      </c>
      <c r="J61" s="171">
        <f>VLOOKUP(I61,retfuente4[#All],3,FALSE)</f>
        <v>498000</v>
      </c>
      <c r="K61" s="48" t="str">
        <f t="shared" si="88"/>
        <v>NO APLICA</v>
      </c>
      <c r="L61" s="134">
        <f>VLOOKUP(I61,retfuente4[#All],4,FALSE)</f>
        <v>2.5000000000000001E-2</v>
      </c>
      <c r="M61" s="130">
        <f t="shared" si="89"/>
        <v>0</v>
      </c>
      <c r="N61" s="132" t="s">
        <v>77</v>
      </c>
      <c r="O61" s="172">
        <f t="shared" si="83"/>
        <v>498000</v>
      </c>
      <c r="P61" s="133" t="str">
        <f t="shared" si="90"/>
        <v>NO APLICA</v>
      </c>
      <c r="Q61" s="134">
        <f t="shared" si="85"/>
        <v>6.0000000000000001E-3</v>
      </c>
      <c r="R61" s="130">
        <f t="shared" si="91"/>
        <v>0</v>
      </c>
      <c r="S61" s="135">
        <f t="shared" si="92"/>
        <v>308000</v>
      </c>
      <c r="T61" s="136"/>
      <c r="U61" s="135">
        <f t="shared" si="93"/>
        <v>0</v>
      </c>
    </row>
    <row r="62" spans="2:21" ht="28.5" x14ac:dyDescent="0.2">
      <c r="B62" s="155" t="s">
        <v>10</v>
      </c>
      <c r="C62" s="158">
        <v>1126456991</v>
      </c>
      <c r="D62" s="158" t="s">
        <v>103</v>
      </c>
      <c r="E62" s="161">
        <v>45867</v>
      </c>
      <c r="F62" s="164">
        <v>9824</v>
      </c>
      <c r="G62" s="168">
        <v>47000</v>
      </c>
      <c r="H62" s="168">
        <v>39496</v>
      </c>
      <c r="I62" s="170" t="s">
        <v>27</v>
      </c>
      <c r="J62" s="171">
        <f>VLOOKUP(I62,retfuente4[#All],3,FALSE)</f>
        <v>498000</v>
      </c>
      <c r="K62" s="48" t="str">
        <f t="shared" si="88"/>
        <v>NO APLICA</v>
      </c>
      <c r="L62" s="134">
        <f>VLOOKUP(I62,retfuente4[#All],4,FALSE)</f>
        <v>2.5000000000000001E-2</v>
      </c>
      <c r="M62" s="130">
        <f t="shared" si="89"/>
        <v>0</v>
      </c>
      <c r="N62" s="132" t="s">
        <v>77</v>
      </c>
      <c r="O62" s="172">
        <f t="shared" si="83"/>
        <v>498000</v>
      </c>
      <c r="P62" s="133" t="str">
        <f t="shared" si="90"/>
        <v>NO APLICA</v>
      </c>
      <c r="Q62" s="134">
        <f t="shared" si="85"/>
        <v>6.0000000000000001E-3</v>
      </c>
      <c r="R62" s="130">
        <f t="shared" si="91"/>
        <v>0</v>
      </c>
      <c r="S62" s="135">
        <f t="shared" si="92"/>
        <v>47000</v>
      </c>
      <c r="T62" s="136"/>
      <c r="U62" s="135">
        <f t="shared" si="93"/>
        <v>0</v>
      </c>
    </row>
    <row r="63" spans="2:21" ht="28.5" x14ac:dyDescent="0.2">
      <c r="B63" s="154" t="s">
        <v>10</v>
      </c>
      <c r="C63" s="157">
        <v>1126456991</v>
      </c>
      <c r="D63" s="157" t="s">
        <v>103</v>
      </c>
      <c r="E63" s="160">
        <v>45867</v>
      </c>
      <c r="F63" s="163">
        <v>9819</v>
      </c>
      <c r="G63" s="167">
        <v>770956</v>
      </c>
      <c r="H63" s="167">
        <v>661765</v>
      </c>
      <c r="I63" s="170" t="s">
        <v>27</v>
      </c>
      <c r="J63" s="171">
        <f>VLOOKUP(I63,retfuente4[#All],3,FALSE)</f>
        <v>498000</v>
      </c>
      <c r="K63" s="48" t="str">
        <f t="shared" si="88"/>
        <v>APLICA</v>
      </c>
      <c r="L63" s="134">
        <f>VLOOKUP(I63,retfuente4[#All],4,FALSE)</f>
        <v>2.5000000000000001E-2</v>
      </c>
      <c r="M63" s="130">
        <f t="shared" si="89"/>
        <v>16544.125</v>
      </c>
      <c r="N63" s="132" t="s">
        <v>77</v>
      </c>
      <c r="O63" s="172">
        <f t="shared" si="83"/>
        <v>498000</v>
      </c>
      <c r="P63" s="133" t="str">
        <f t="shared" si="90"/>
        <v>APLICA</v>
      </c>
      <c r="Q63" s="134">
        <f t="shared" si="85"/>
        <v>6.0000000000000001E-3</v>
      </c>
      <c r="R63" s="130">
        <f t="shared" si="91"/>
        <v>3970.59</v>
      </c>
      <c r="S63" s="135">
        <f t="shared" si="92"/>
        <v>750441.28500000003</v>
      </c>
      <c r="T63" s="136"/>
      <c r="U63" s="135">
        <f t="shared" si="93"/>
        <v>20514.714999999967</v>
      </c>
    </row>
    <row r="64" spans="2:21" ht="28.5" x14ac:dyDescent="0.2">
      <c r="B64" s="154" t="s">
        <v>10</v>
      </c>
      <c r="C64" s="157">
        <v>1126456991</v>
      </c>
      <c r="D64" s="157" t="s">
        <v>103</v>
      </c>
      <c r="E64" s="160">
        <v>45869</v>
      </c>
      <c r="F64" s="163">
        <v>12632</v>
      </c>
      <c r="G64" s="167">
        <v>6617983</v>
      </c>
      <c r="H64" s="167">
        <v>5680672</v>
      </c>
      <c r="I64" s="170" t="s">
        <v>27</v>
      </c>
      <c r="J64" s="171">
        <f>VLOOKUP(I64,retfuente4[#All],3,FALSE)</f>
        <v>498000</v>
      </c>
      <c r="K64" s="48" t="str">
        <f t="shared" si="88"/>
        <v>APLICA</v>
      </c>
      <c r="L64" s="134">
        <f>VLOOKUP(I64,retfuente4[#All],4,FALSE)</f>
        <v>2.5000000000000001E-2</v>
      </c>
      <c r="M64" s="130">
        <f t="shared" si="89"/>
        <v>142016.80000000002</v>
      </c>
      <c r="N64" s="132" t="s">
        <v>77</v>
      </c>
      <c r="O64" s="172">
        <f t="shared" si="83"/>
        <v>498000</v>
      </c>
      <c r="P64" s="133" t="str">
        <f t="shared" si="90"/>
        <v>APLICA</v>
      </c>
      <c r="Q64" s="134">
        <f t="shared" si="85"/>
        <v>6.0000000000000001E-3</v>
      </c>
      <c r="R64" s="130">
        <f t="shared" si="91"/>
        <v>34084.031999999999</v>
      </c>
      <c r="S64" s="135">
        <f t="shared" si="92"/>
        <v>6441882.1679999996</v>
      </c>
      <c r="T64" s="136"/>
      <c r="U64" s="135">
        <f t="shared" si="93"/>
        <v>176100.8320000004</v>
      </c>
    </row>
    <row r="65" spans="2:21" ht="28.5" x14ac:dyDescent="0.2">
      <c r="B65" s="173" t="s">
        <v>184</v>
      </c>
      <c r="C65" s="174" t="s">
        <v>185</v>
      </c>
      <c r="D65" s="187"/>
      <c r="E65" s="184">
        <v>45895</v>
      </c>
      <c r="F65" s="18" t="s">
        <v>186</v>
      </c>
      <c r="G65" s="175">
        <v>127980</v>
      </c>
      <c r="H65" s="175">
        <v>107546.22</v>
      </c>
      <c r="I65" s="170" t="s">
        <v>27</v>
      </c>
      <c r="J65" s="171">
        <f>VLOOKUP(I65,retfuente4[#All],3,FALSE)</f>
        <v>498000</v>
      </c>
      <c r="K65" s="48" t="str">
        <f t="shared" ref="K65:K101" si="94">IF(J65&gt;=H65,"NO APLICA","APLICA")</f>
        <v>NO APLICA</v>
      </c>
      <c r="L65" s="134">
        <f>VLOOKUP(I65,retfuente4[#All],4,FALSE)</f>
        <v>2.5000000000000001E-2</v>
      </c>
      <c r="M65" s="130">
        <f t="shared" ref="M65:M101" si="95">IF(K65="APLICA",H65*L65,0)</f>
        <v>0</v>
      </c>
      <c r="N65" s="132" t="s">
        <v>77</v>
      </c>
      <c r="O65" s="172">
        <f t="shared" si="83"/>
        <v>498000</v>
      </c>
      <c r="P65" s="133" t="str">
        <f t="shared" ref="P65:P101" si="96">IF($P$3&gt;=H65,"NO APLICA","APLICA")</f>
        <v>NO APLICA</v>
      </c>
      <c r="Q65" s="134">
        <f t="shared" si="85"/>
        <v>6.0000000000000001E-3</v>
      </c>
      <c r="R65" s="130">
        <f t="shared" ref="R65:R101" si="97">IF(P65="APLICA",H65*Q65,0)</f>
        <v>0</v>
      </c>
      <c r="S65" s="135">
        <f t="shared" ref="S65:S101" si="98">G65-(R65+M65)</f>
        <v>127980</v>
      </c>
      <c r="T65" s="136"/>
      <c r="U65" s="135">
        <f t="shared" ref="U65:U101" si="99">G65-S65</f>
        <v>0</v>
      </c>
    </row>
    <row r="66" spans="2:21" ht="28.5" x14ac:dyDescent="0.2">
      <c r="B66" s="173" t="s">
        <v>184</v>
      </c>
      <c r="C66" s="174" t="s">
        <v>185</v>
      </c>
      <c r="D66" s="187"/>
      <c r="E66" s="184">
        <v>45895</v>
      </c>
      <c r="F66" s="18" t="s">
        <v>187</v>
      </c>
      <c r="G66" s="175">
        <v>166000</v>
      </c>
      <c r="H66" s="175">
        <v>139495.79999999999</v>
      </c>
      <c r="I66" s="170" t="s">
        <v>27</v>
      </c>
      <c r="J66" s="171">
        <f>VLOOKUP(I66,retfuente4[#All],3,FALSE)</f>
        <v>498000</v>
      </c>
      <c r="K66" s="48" t="str">
        <f t="shared" si="94"/>
        <v>NO APLICA</v>
      </c>
      <c r="L66" s="134">
        <f>VLOOKUP(I66,retfuente4[#All],4,FALSE)</f>
        <v>2.5000000000000001E-2</v>
      </c>
      <c r="M66" s="130">
        <f t="shared" si="95"/>
        <v>0</v>
      </c>
      <c r="N66" s="132" t="s">
        <v>77</v>
      </c>
      <c r="O66" s="172">
        <f t="shared" si="83"/>
        <v>498000</v>
      </c>
      <c r="P66" s="133" t="str">
        <f t="shared" si="96"/>
        <v>NO APLICA</v>
      </c>
      <c r="Q66" s="134">
        <f t="shared" si="85"/>
        <v>6.0000000000000001E-3</v>
      </c>
      <c r="R66" s="130">
        <f t="shared" si="97"/>
        <v>0</v>
      </c>
      <c r="S66" s="135">
        <f t="shared" si="98"/>
        <v>166000</v>
      </c>
      <c r="T66" s="136"/>
      <c r="U66" s="135">
        <f t="shared" si="99"/>
        <v>0</v>
      </c>
    </row>
    <row r="67" spans="2:21" ht="28.5" x14ac:dyDescent="0.2">
      <c r="B67" s="173" t="s">
        <v>184</v>
      </c>
      <c r="C67" s="174" t="s">
        <v>185</v>
      </c>
      <c r="D67" s="187"/>
      <c r="E67" s="184">
        <v>45898</v>
      </c>
      <c r="F67" s="18" t="s">
        <v>188</v>
      </c>
      <c r="G67" s="175">
        <v>28500</v>
      </c>
      <c r="H67" s="175">
        <v>23949.58</v>
      </c>
      <c r="I67" s="170" t="s">
        <v>27</v>
      </c>
      <c r="J67" s="171">
        <f>VLOOKUP(I67,retfuente4[#All],3,FALSE)</f>
        <v>498000</v>
      </c>
      <c r="K67" s="48" t="str">
        <f t="shared" si="94"/>
        <v>NO APLICA</v>
      </c>
      <c r="L67" s="134">
        <f>VLOOKUP(I67,retfuente4[#All],4,FALSE)</f>
        <v>2.5000000000000001E-2</v>
      </c>
      <c r="M67" s="130">
        <f t="shared" si="95"/>
        <v>0</v>
      </c>
      <c r="N67" s="132" t="s">
        <v>77</v>
      </c>
      <c r="O67" s="172">
        <f t="shared" si="83"/>
        <v>498000</v>
      </c>
      <c r="P67" s="133" t="str">
        <f t="shared" si="96"/>
        <v>NO APLICA</v>
      </c>
      <c r="Q67" s="134">
        <f t="shared" si="85"/>
        <v>6.0000000000000001E-3</v>
      </c>
      <c r="R67" s="130">
        <f t="shared" si="97"/>
        <v>0</v>
      </c>
      <c r="S67" s="135">
        <f t="shared" si="98"/>
        <v>28500</v>
      </c>
      <c r="T67" s="136"/>
      <c r="U67" s="135">
        <f t="shared" si="99"/>
        <v>0</v>
      </c>
    </row>
    <row r="68" spans="2:21" ht="28.5" x14ac:dyDescent="0.2">
      <c r="B68" s="176" t="s">
        <v>184</v>
      </c>
      <c r="C68" s="177" t="s">
        <v>185</v>
      </c>
      <c r="D68" s="187"/>
      <c r="E68" s="185">
        <v>45888</v>
      </c>
      <c r="F68" s="178" t="s">
        <v>189</v>
      </c>
      <c r="G68" s="179">
        <v>7140000</v>
      </c>
      <c r="H68" s="179">
        <v>6000000</v>
      </c>
      <c r="I68" s="170" t="s">
        <v>27</v>
      </c>
      <c r="J68" s="171">
        <f>VLOOKUP(I68,retfuente4[#All],3,FALSE)</f>
        <v>498000</v>
      </c>
      <c r="K68" s="48" t="str">
        <f t="shared" si="94"/>
        <v>APLICA</v>
      </c>
      <c r="L68" s="134">
        <f>VLOOKUP(I68,retfuente4[#All],4,FALSE)</f>
        <v>2.5000000000000001E-2</v>
      </c>
      <c r="M68" s="130">
        <f t="shared" si="95"/>
        <v>150000</v>
      </c>
      <c r="N68" s="132" t="s">
        <v>77</v>
      </c>
      <c r="O68" s="172">
        <f t="shared" si="83"/>
        <v>498000</v>
      </c>
      <c r="P68" s="133" t="str">
        <f t="shared" si="96"/>
        <v>APLICA</v>
      </c>
      <c r="Q68" s="134">
        <f t="shared" si="85"/>
        <v>6.0000000000000001E-3</v>
      </c>
      <c r="R68" s="130">
        <f t="shared" si="97"/>
        <v>36000</v>
      </c>
      <c r="S68" s="135">
        <f t="shared" si="98"/>
        <v>6954000</v>
      </c>
      <c r="T68" s="136"/>
      <c r="U68" s="135">
        <f t="shared" si="99"/>
        <v>186000</v>
      </c>
    </row>
    <row r="69" spans="2:21" ht="28.5" x14ac:dyDescent="0.2">
      <c r="B69" s="173" t="s">
        <v>184</v>
      </c>
      <c r="C69" s="174" t="s">
        <v>185</v>
      </c>
      <c r="D69" s="187"/>
      <c r="E69" s="184">
        <v>45898</v>
      </c>
      <c r="F69" s="18" t="s">
        <v>190</v>
      </c>
      <c r="G69" s="175">
        <v>198100</v>
      </c>
      <c r="H69" s="175">
        <v>166470.59</v>
      </c>
      <c r="I69" s="170" t="s">
        <v>27</v>
      </c>
      <c r="J69" s="171">
        <f>VLOOKUP(I69,retfuente4[#All],3,FALSE)</f>
        <v>498000</v>
      </c>
      <c r="K69" s="48" t="str">
        <f t="shared" si="94"/>
        <v>NO APLICA</v>
      </c>
      <c r="L69" s="134">
        <f>VLOOKUP(I69,retfuente4[#All],4,FALSE)</f>
        <v>2.5000000000000001E-2</v>
      </c>
      <c r="M69" s="130">
        <f t="shared" si="95"/>
        <v>0</v>
      </c>
      <c r="N69" s="132" t="s">
        <v>77</v>
      </c>
      <c r="O69" s="172">
        <f t="shared" si="83"/>
        <v>498000</v>
      </c>
      <c r="P69" s="133" t="str">
        <f t="shared" si="96"/>
        <v>NO APLICA</v>
      </c>
      <c r="Q69" s="134">
        <f t="shared" si="85"/>
        <v>6.0000000000000001E-3</v>
      </c>
      <c r="R69" s="130">
        <f t="shared" si="97"/>
        <v>0</v>
      </c>
      <c r="S69" s="135">
        <f t="shared" si="98"/>
        <v>198100</v>
      </c>
      <c r="T69" s="136"/>
      <c r="U69" s="135">
        <f t="shared" si="99"/>
        <v>0</v>
      </c>
    </row>
    <row r="70" spans="2:21" ht="28.5" x14ac:dyDescent="0.2">
      <c r="B70" s="180" t="s">
        <v>191</v>
      </c>
      <c r="C70" s="181" t="s">
        <v>192</v>
      </c>
      <c r="D70" s="187"/>
      <c r="E70" s="186">
        <v>45898</v>
      </c>
      <c r="F70" s="182" t="s">
        <v>193</v>
      </c>
      <c r="G70" s="183">
        <v>4645400</v>
      </c>
      <c r="H70" s="183">
        <v>3903697.48</v>
      </c>
      <c r="I70" s="170" t="s">
        <v>27</v>
      </c>
      <c r="J70" s="171">
        <f>VLOOKUP(I70,retfuente4[#All],3,FALSE)</f>
        <v>498000</v>
      </c>
      <c r="K70" s="48" t="str">
        <f t="shared" si="94"/>
        <v>APLICA</v>
      </c>
      <c r="L70" s="134">
        <f>VLOOKUP(I70,retfuente4[#All],4,FALSE)</f>
        <v>2.5000000000000001E-2</v>
      </c>
      <c r="M70" s="130">
        <f t="shared" si="95"/>
        <v>97592.437000000005</v>
      </c>
      <c r="N70" s="132" t="s">
        <v>77</v>
      </c>
      <c r="O70" s="172">
        <f t="shared" si="83"/>
        <v>498000</v>
      </c>
      <c r="P70" s="133" t="str">
        <f t="shared" si="96"/>
        <v>APLICA</v>
      </c>
      <c r="Q70" s="134">
        <f t="shared" si="85"/>
        <v>6.0000000000000001E-3</v>
      </c>
      <c r="R70" s="130">
        <f t="shared" si="97"/>
        <v>23422.184880000001</v>
      </c>
      <c r="S70" s="135">
        <f t="shared" si="98"/>
        <v>4524385.3781199995</v>
      </c>
      <c r="T70" s="136"/>
      <c r="U70" s="135">
        <f t="shared" si="99"/>
        <v>121014.62188000046</v>
      </c>
    </row>
    <row r="71" spans="2:21" ht="28.5" x14ac:dyDescent="0.2">
      <c r="B71" s="173" t="s">
        <v>194</v>
      </c>
      <c r="C71" s="174" t="s">
        <v>195</v>
      </c>
      <c r="D71" s="187"/>
      <c r="E71" s="184">
        <v>45877</v>
      </c>
      <c r="F71" s="18" t="s">
        <v>196</v>
      </c>
      <c r="G71" s="175">
        <v>39000</v>
      </c>
      <c r="H71" s="175">
        <v>32773.11</v>
      </c>
      <c r="I71" s="170" t="s">
        <v>27</v>
      </c>
      <c r="J71" s="171">
        <f>VLOOKUP(I71,retfuente4[#All],3,FALSE)</f>
        <v>498000</v>
      </c>
      <c r="K71" s="48" t="str">
        <f t="shared" si="94"/>
        <v>NO APLICA</v>
      </c>
      <c r="L71" s="134">
        <f>VLOOKUP(I71,retfuente4[#All],4,FALSE)</f>
        <v>2.5000000000000001E-2</v>
      </c>
      <c r="M71" s="130">
        <f t="shared" si="95"/>
        <v>0</v>
      </c>
      <c r="N71" s="132" t="s">
        <v>77</v>
      </c>
      <c r="O71" s="172">
        <f t="shared" ref="O71:O102" si="100">VLOOKUP(N71,RETEICAJULIO2025,3,FALSE)</f>
        <v>498000</v>
      </c>
      <c r="P71" s="133" t="str">
        <f t="shared" si="96"/>
        <v>NO APLICA</v>
      </c>
      <c r="Q71" s="134">
        <f t="shared" ref="Q71:Q102" si="101">VLOOKUP(N71,RETEICAJULIO2025,4,FALSE)</f>
        <v>6.0000000000000001E-3</v>
      </c>
      <c r="R71" s="130">
        <f t="shared" si="97"/>
        <v>0</v>
      </c>
      <c r="S71" s="135">
        <f t="shared" si="98"/>
        <v>39000</v>
      </c>
      <c r="T71" s="136"/>
      <c r="U71" s="135">
        <f t="shared" si="99"/>
        <v>0</v>
      </c>
    </row>
    <row r="72" spans="2:21" ht="28.5" x14ac:dyDescent="0.2">
      <c r="B72" s="173" t="s">
        <v>3</v>
      </c>
      <c r="C72" s="174" t="s">
        <v>197</v>
      </c>
      <c r="D72" s="187"/>
      <c r="E72" s="184">
        <v>45877</v>
      </c>
      <c r="F72" s="18" t="s">
        <v>198</v>
      </c>
      <c r="G72" s="175">
        <v>245250</v>
      </c>
      <c r="H72" s="175">
        <v>206092.44</v>
      </c>
      <c r="I72" s="170" t="s">
        <v>27</v>
      </c>
      <c r="J72" s="171">
        <f>VLOOKUP(I72,retfuente4[#All],3,FALSE)</f>
        <v>498000</v>
      </c>
      <c r="K72" s="48" t="str">
        <f t="shared" si="94"/>
        <v>NO APLICA</v>
      </c>
      <c r="L72" s="134">
        <f>VLOOKUP(I72,retfuente4[#All],4,FALSE)</f>
        <v>2.5000000000000001E-2</v>
      </c>
      <c r="M72" s="130">
        <f t="shared" si="95"/>
        <v>0</v>
      </c>
      <c r="N72" s="132" t="s">
        <v>77</v>
      </c>
      <c r="O72" s="172">
        <f t="shared" si="100"/>
        <v>498000</v>
      </c>
      <c r="P72" s="133" t="str">
        <f t="shared" si="96"/>
        <v>NO APLICA</v>
      </c>
      <c r="Q72" s="134">
        <f t="shared" si="101"/>
        <v>6.0000000000000001E-3</v>
      </c>
      <c r="R72" s="130">
        <f t="shared" si="97"/>
        <v>0</v>
      </c>
      <c r="S72" s="135">
        <f t="shared" si="98"/>
        <v>245250</v>
      </c>
      <c r="T72" s="136"/>
      <c r="U72" s="135">
        <f t="shared" si="99"/>
        <v>0</v>
      </c>
    </row>
    <row r="73" spans="2:21" ht="28.5" x14ac:dyDescent="0.2">
      <c r="B73" s="176" t="s">
        <v>3</v>
      </c>
      <c r="C73" s="177" t="s">
        <v>197</v>
      </c>
      <c r="D73" s="187"/>
      <c r="E73" s="185">
        <v>45876</v>
      </c>
      <c r="F73" s="178" t="s">
        <v>199</v>
      </c>
      <c r="G73" s="179">
        <v>4344617.5</v>
      </c>
      <c r="H73" s="179">
        <v>3651564.71</v>
      </c>
      <c r="I73" s="170" t="s">
        <v>27</v>
      </c>
      <c r="J73" s="171">
        <f>VLOOKUP(I73,retfuente4[#All],3,FALSE)</f>
        <v>498000</v>
      </c>
      <c r="K73" s="48" t="str">
        <f t="shared" si="94"/>
        <v>APLICA</v>
      </c>
      <c r="L73" s="134">
        <f>VLOOKUP(I73,retfuente4[#All],4,FALSE)</f>
        <v>2.5000000000000001E-2</v>
      </c>
      <c r="M73" s="130">
        <f t="shared" si="95"/>
        <v>91289.117750000005</v>
      </c>
      <c r="N73" s="132" t="s">
        <v>77</v>
      </c>
      <c r="O73" s="172">
        <f t="shared" si="100"/>
        <v>498000</v>
      </c>
      <c r="P73" s="133" t="str">
        <f t="shared" si="96"/>
        <v>APLICA</v>
      </c>
      <c r="Q73" s="134">
        <f t="shared" si="101"/>
        <v>6.0000000000000001E-3</v>
      </c>
      <c r="R73" s="130">
        <f t="shared" si="97"/>
        <v>21909.38826</v>
      </c>
      <c r="S73" s="135">
        <f t="shared" si="98"/>
        <v>4231418.9939900003</v>
      </c>
      <c r="T73" s="136"/>
      <c r="U73" s="135">
        <f t="shared" si="99"/>
        <v>113198.50600999966</v>
      </c>
    </row>
    <row r="74" spans="2:21" ht="28.5" x14ac:dyDescent="0.2">
      <c r="B74" s="173" t="s">
        <v>3</v>
      </c>
      <c r="C74" s="174" t="s">
        <v>197</v>
      </c>
      <c r="D74" s="187"/>
      <c r="E74" s="184">
        <v>45876</v>
      </c>
      <c r="F74" s="18" t="s">
        <v>200</v>
      </c>
      <c r="G74" s="175">
        <v>345242</v>
      </c>
      <c r="H74" s="175">
        <v>290119.33</v>
      </c>
      <c r="I74" s="170" t="s">
        <v>27</v>
      </c>
      <c r="J74" s="171">
        <f>VLOOKUP(I74,retfuente4[#All],3,FALSE)</f>
        <v>498000</v>
      </c>
      <c r="K74" s="48" t="str">
        <f t="shared" si="94"/>
        <v>NO APLICA</v>
      </c>
      <c r="L74" s="134">
        <f>VLOOKUP(I74,retfuente4[#All],4,FALSE)</f>
        <v>2.5000000000000001E-2</v>
      </c>
      <c r="M74" s="130">
        <f t="shared" si="95"/>
        <v>0</v>
      </c>
      <c r="N74" s="132" t="s">
        <v>77</v>
      </c>
      <c r="O74" s="172">
        <f t="shared" si="100"/>
        <v>498000</v>
      </c>
      <c r="P74" s="133" t="str">
        <f t="shared" si="96"/>
        <v>NO APLICA</v>
      </c>
      <c r="Q74" s="134">
        <f t="shared" si="101"/>
        <v>6.0000000000000001E-3</v>
      </c>
      <c r="R74" s="130">
        <f t="shared" si="97"/>
        <v>0</v>
      </c>
      <c r="S74" s="135">
        <f t="shared" si="98"/>
        <v>345242</v>
      </c>
      <c r="T74" s="136"/>
      <c r="U74" s="135">
        <f t="shared" si="99"/>
        <v>0</v>
      </c>
    </row>
    <row r="75" spans="2:21" ht="28.5" x14ac:dyDescent="0.2">
      <c r="B75" s="176" t="s">
        <v>3</v>
      </c>
      <c r="C75" s="177" t="s">
        <v>197</v>
      </c>
      <c r="D75" s="187"/>
      <c r="E75" s="185">
        <v>45894</v>
      </c>
      <c r="F75" s="178" t="s">
        <v>201</v>
      </c>
      <c r="G75" s="179">
        <v>2068068</v>
      </c>
      <c r="H75" s="179">
        <v>1741626.05</v>
      </c>
      <c r="I75" s="170" t="s">
        <v>27</v>
      </c>
      <c r="J75" s="171">
        <f>VLOOKUP(I75,retfuente4[#All],3,FALSE)</f>
        <v>498000</v>
      </c>
      <c r="K75" s="48" t="str">
        <f t="shared" si="94"/>
        <v>APLICA</v>
      </c>
      <c r="L75" s="134">
        <f>VLOOKUP(I75,retfuente4[#All],4,FALSE)</f>
        <v>2.5000000000000001E-2</v>
      </c>
      <c r="M75" s="130">
        <f t="shared" si="95"/>
        <v>43540.651250000003</v>
      </c>
      <c r="N75" s="132" t="s">
        <v>77</v>
      </c>
      <c r="O75" s="172">
        <f t="shared" si="100"/>
        <v>498000</v>
      </c>
      <c r="P75" s="133" t="str">
        <f t="shared" si="96"/>
        <v>APLICA</v>
      </c>
      <c r="Q75" s="134">
        <f t="shared" si="101"/>
        <v>6.0000000000000001E-3</v>
      </c>
      <c r="R75" s="130">
        <f t="shared" si="97"/>
        <v>10449.756300000001</v>
      </c>
      <c r="S75" s="135">
        <f t="shared" si="98"/>
        <v>2014077.5924499999</v>
      </c>
      <c r="T75" s="136"/>
      <c r="U75" s="135">
        <f t="shared" si="99"/>
        <v>53990.40755000012</v>
      </c>
    </row>
    <row r="76" spans="2:21" ht="28.5" x14ac:dyDescent="0.2">
      <c r="B76" s="173" t="s">
        <v>3</v>
      </c>
      <c r="C76" s="174" t="s">
        <v>197</v>
      </c>
      <c r="D76" s="187"/>
      <c r="E76" s="184">
        <v>45895</v>
      </c>
      <c r="F76" s="18" t="s">
        <v>202</v>
      </c>
      <c r="G76" s="175">
        <v>48000</v>
      </c>
      <c r="H76" s="175">
        <v>40336.129999999997</v>
      </c>
      <c r="I76" s="170" t="s">
        <v>27</v>
      </c>
      <c r="J76" s="171">
        <f>VLOOKUP(I76,retfuente4[#All],3,FALSE)</f>
        <v>498000</v>
      </c>
      <c r="K76" s="48" t="str">
        <f t="shared" si="94"/>
        <v>NO APLICA</v>
      </c>
      <c r="L76" s="134">
        <f>VLOOKUP(I76,retfuente4[#All],4,FALSE)</f>
        <v>2.5000000000000001E-2</v>
      </c>
      <c r="M76" s="130">
        <f t="shared" si="95"/>
        <v>0</v>
      </c>
      <c r="N76" s="132" t="s">
        <v>77</v>
      </c>
      <c r="O76" s="172">
        <f t="shared" si="100"/>
        <v>498000</v>
      </c>
      <c r="P76" s="133" t="str">
        <f t="shared" si="96"/>
        <v>NO APLICA</v>
      </c>
      <c r="Q76" s="134">
        <f t="shared" si="101"/>
        <v>6.0000000000000001E-3</v>
      </c>
      <c r="R76" s="130">
        <f t="shared" si="97"/>
        <v>0</v>
      </c>
      <c r="S76" s="135">
        <f t="shared" si="98"/>
        <v>48000</v>
      </c>
      <c r="T76" s="136"/>
      <c r="U76" s="135">
        <f t="shared" si="99"/>
        <v>0</v>
      </c>
    </row>
    <row r="77" spans="2:21" ht="28.5" x14ac:dyDescent="0.2">
      <c r="B77" s="173" t="s">
        <v>3</v>
      </c>
      <c r="C77" s="174" t="s">
        <v>197</v>
      </c>
      <c r="D77" s="187"/>
      <c r="E77" s="184">
        <v>45898</v>
      </c>
      <c r="F77" s="18" t="s">
        <v>203</v>
      </c>
      <c r="G77" s="175">
        <v>346808</v>
      </c>
      <c r="H77" s="175">
        <v>291435.28999999998</v>
      </c>
      <c r="I77" s="170" t="s">
        <v>27</v>
      </c>
      <c r="J77" s="171">
        <f>VLOOKUP(I77,retfuente4[#All],3,FALSE)</f>
        <v>498000</v>
      </c>
      <c r="K77" s="48" t="str">
        <f t="shared" si="94"/>
        <v>NO APLICA</v>
      </c>
      <c r="L77" s="134">
        <f>VLOOKUP(I77,retfuente4[#All],4,FALSE)</f>
        <v>2.5000000000000001E-2</v>
      </c>
      <c r="M77" s="130">
        <f t="shared" si="95"/>
        <v>0</v>
      </c>
      <c r="N77" s="132" t="s">
        <v>77</v>
      </c>
      <c r="O77" s="172">
        <f t="shared" si="100"/>
        <v>498000</v>
      </c>
      <c r="P77" s="133" t="str">
        <f t="shared" si="96"/>
        <v>NO APLICA</v>
      </c>
      <c r="Q77" s="134">
        <f t="shared" si="101"/>
        <v>6.0000000000000001E-3</v>
      </c>
      <c r="R77" s="130">
        <f t="shared" si="97"/>
        <v>0</v>
      </c>
      <c r="S77" s="135">
        <f t="shared" si="98"/>
        <v>346808</v>
      </c>
      <c r="T77" s="136"/>
      <c r="U77" s="135">
        <f t="shared" si="99"/>
        <v>0</v>
      </c>
    </row>
    <row r="78" spans="2:21" ht="28.5" x14ac:dyDescent="0.2">
      <c r="B78" s="173" t="s">
        <v>204</v>
      </c>
      <c r="C78" s="174" t="s">
        <v>205</v>
      </c>
      <c r="D78" s="187"/>
      <c r="E78" s="184">
        <v>45873</v>
      </c>
      <c r="F78" s="18" t="s">
        <v>206</v>
      </c>
      <c r="G78" s="175">
        <v>11600</v>
      </c>
      <c r="H78" s="175">
        <v>11600</v>
      </c>
      <c r="I78" s="170" t="s">
        <v>27</v>
      </c>
      <c r="J78" s="171">
        <f>VLOOKUP(I78,retfuente4[#All],3,FALSE)</f>
        <v>498000</v>
      </c>
      <c r="K78" s="48" t="str">
        <f t="shared" si="94"/>
        <v>NO APLICA</v>
      </c>
      <c r="L78" s="134">
        <f>VLOOKUP(I78,retfuente4[#All],4,FALSE)</f>
        <v>2.5000000000000001E-2</v>
      </c>
      <c r="M78" s="130">
        <f t="shared" si="95"/>
        <v>0</v>
      </c>
      <c r="N78" s="132" t="s">
        <v>77</v>
      </c>
      <c r="O78" s="172">
        <f t="shared" si="100"/>
        <v>498000</v>
      </c>
      <c r="P78" s="133" t="str">
        <f t="shared" si="96"/>
        <v>NO APLICA</v>
      </c>
      <c r="Q78" s="134">
        <f t="shared" si="101"/>
        <v>6.0000000000000001E-3</v>
      </c>
      <c r="R78" s="130">
        <f t="shared" si="97"/>
        <v>0</v>
      </c>
      <c r="S78" s="135">
        <f t="shared" si="98"/>
        <v>11600</v>
      </c>
      <c r="T78" s="136"/>
      <c r="U78" s="135">
        <f t="shared" si="99"/>
        <v>0</v>
      </c>
    </row>
    <row r="79" spans="2:21" ht="28.5" x14ac:dyDescent="0.2">
      <c r="B79" s="173" t="s">
        <v>207</v>
      </c>
      <c r="C79" s="174" t="s">
        <v>208</v>
      </c>
      <c r="D79" s="187"/>
      <c r="E79" s="184">
        <v>45895</v>
      </c>
      <c r="F79" s="18" t="s">
        <v>209</v>
      </c>
      <c r="G79" s="175">
        <v>310000</v>
      </c>
      <c r="H79" s="175">
        <v>260504.2</v>
      </c>
      <c r="I79" s="170" t="s">
        <v>27</v>
      </c>
      <c r="J79" s="171">
        <f>VLOOKUP(I79,retfuente4[#All],3,FALSE)</f>
        <v>498000</v>
      </c>
      <c r="K79" s="48" t="str">
        <f t="shared" si="94"/>
        <v>NO APLICA</v>
      </c>
      <c r="L79" s="134">
        <f>VLOOKUP(I79,retfuente4[#All],4,FALSE)</f>
        <v>2.5000000000000001E-2</v>
      </c>
      <c r="M79" s="130">
        <f t="shared" si="95"/>
        <v>0</v>
      </c>
      <c r="N79" s="132" t="s">
        <v>77</v>
      </c>
      <c r="O79" s="172">
        <f t="shared" si="100"/>
        <v>498000</v>
      </c>
      <c r="P79" s="133" t="str">
        <f t="shared" si="96"/>
        <v>NO APLICA</v>
      </c>
      <c r="Q79" s="134">
        <f t="shared" si="101"/>
        <v>6.0000000000000001E-3</v>
      </c>
      <c r="R79" s="130">
        <f t="shared" si="97"/>
        <v>0</v>
      </c>
      <c r="S79" s="135">
        <f t="shared" si="98"/>
        <v>310000</v>
      </c>
      <c r="T79" s="136"/>
      <c r="U79" s="135">
        <f t="shared" si="99"/>
        <v>0</v>
      </c>
    </row>
    <row r="80" spans="2:21" ht="28.5" x14ac:dyDescent="0.2">
      <c r="B80" s="173" t="s">
        <v>207</v>
      </c>
      <c r="C80" s="174" t="s">
        <v>208</v>
      </c>
      <c r="D80" s="187"/>
      <c r="E80" s="184">
        <v>45888</v>
      </c>
      <c r="F80" s="18" t="s">
        <v>210</v>
      </c>
      <c r="G80" s="175">
        <v>10000</v>
      </c>
      <c r="H80" s="175">
        <v>8403.36</v>
      </c>
      <c r="I80" s="170" t="s">
        <v>27</v>
      </c>
      <c r="J80" s="171">
        <f>VLOOKUP(I80,retfuente4[#All],3,FALSE)</f>
        <v>498000</v>
      </c>
      <c r="K80" s="48" t="str">
        <f t="shared" si="94"/>
        <v>NO APLICA</v>
      </c>
      <c r="L80" s="134">
        <f>VLOOKUP(I80,retfuente4[#All],4,FALSE)</f>
        <v>2.5000000000000001E-2</v>
      </c>
      <c r="M80" s="130">
        <f t="shared" si="95"/>
        <v>0</v>
      </c>
      <c r="N80" s="132" t="s">
        <v>77</v>
      </c>
      <c r="O80" s="172">
        <f t="shared" si="100"/>
        <v>498000</v>
      </c>
      <c r="P80" s="133" t="str">
        <f t="shared" si="96"/>
        <v>NO APLICA</v>
      </c>
      <c r="Q80" s="134">
        <f t="shared" si="101"/>
        <v>6.0000000000000001E-3</v>
      </c>
      <c r="R80" s="130">
        <f t="shared" si="97"/>
        <v>0</v>
      </c>
      <c r="S80" s="135">
        <f t="shared" si="98"/>
        <v>10000</v>
      </c>
      <c r="T80" s="136"/>
      <c r="U80" s="135">
        <f t="shared" si="99"/>
        <v>0</v>
      </c>
    </row>
    <row r="81" spans="2:21" ht="28.5" x14ac:dyDescent="0.2">
      <c r="B81" s="173" t="s">
        <v>207</v>
      </c>
      <c r="C81" s="174" t="s">
        <v>208</v>
      </c>
      <c r="D81" s="187"/>
      <c r="E81" s="184">
        <v>45890</v>
      </c>
      <c r="F81" s="18" t="s">
        <v>210</v>
      </c>
      <c r="G81" s="175">
        <v>10000</v>
      </c>
      <c r="H81" s="175">
        <v>8403.36</v>
      </c>
      <c r="I81" s="170" t="s">
        <v>27</v>
      </c>
      <c r="J81" s="171">
        <f>VLOOKUP(I81,retfuente4[#All],3,FALSE)</f>
        <v>498000</v>
      </c>
      <c r="K81" s="48" t="str">
        <f t="shared" si="94"/>
        <v>NO APLICA</v>
      </c>
      <c r="L81" s="134">
        <f>VLOOKUP(I81,retfuente4[#All],4,FALSE)</f>
        <v>2.5000000000000001E-2</v>
      </c>
      <c r="M81" s="130">
        <f t="shared" si="95"/>
        <v>0</v>
      </c>
      <c r="N81" s="132" t="s">
        <v>77</v>
      </c>
      <c r="O81" s="172">
        <f t="shared" si="100"/>
        <v>498000</v>
      </c>
      <c r="P81" s="133" t="str">
        <f t="shared" si="96"/>
        <v>NO APLICA</v>
      </c>
      <c r="Q81" s="134">
        <f t="shared" si="101"/>
        <v>6.0000000000000001E-3</v>
      </c>
      <c r="R81" s="130">
        <f t="shared" si="97"/>
        <v>0</v>
      </c>
      <c r="S81" s="135">
        <f t="shared" si="98"/>
        <v>10000</v>
      </c>
      <c r="T81" s="136"/>
      <c r="U81" s="135">
        <f t="shared" si="99"/>
        <v>0</v>
      </c>
    </row>
    <row r="82" spans="2:21" ht="28.5" x14ac:dyDescent="0.2">
      <c r="B82" s="176" t="s">
        <v>211</v>
      </c>
      <c r="C82" s="177" t="s">
        <v>212</v>
      </c>
      <c r="D82" s="187"/>
      <c r="E82" s="185">
        <v>45870</v>
      </c>
      <c r="F82" s="178" t="s">
        <v>213</v>
      </c>
      <c r="G82" s="179">
        <v>1013999.99</v>
      </c>
      <c r="H82" s="179">
        <v>852100.83</v>
      </c>
      <c r="I82" s="170" t="s">
        <v>27</v>
      </c>
      <c r="J82" s="171">
        <f>VLOOKUP(I82,retfuente4[#All],3,FALSE)</f>
        <v>498000</v>
      </c>
      <c r="K82" s="48" t="str">
        <f t="shared" si="94"/>
        <v>APLICA</v>
      </c>
      <c r="L82" s="134">
        <f>VLOOKUP(I82,retfuente4[#All],4,FALSE)</f>
        <v>2.5000000000000001E-2</v>
      </c>
      <c r="M82" s="130">
        <f t="shared" si="95"/>
        <v>21302.52075</v>
      </c>
      <c r="N82" s="132" t="s">
        <v>77</v>
      </c>
      <c r="O82" s="172">
        <f t="shared" si="100"/>
        <v>498000</v>
      </c>
      <c r="P82" s="133" t="str">
        <f t="shared" si="96"/>
        <v>APLICA</v>
      </c>
      <c r="Q82" s="134">
        <f t="shared" si="101"/>
        <v>6.0000000000000001E-3</v>
      </c>
      <c r="R82" s="130">
        <f t="shared" si="97"/>
        <v>5112.6049800000001</v>
      </c>
      <c r="S82" s="135">
        <f t="shared" si="98"/>
        <v>987584.86427000002</v>
      </c>
      <c r="T82" s="136"/>
      <c r="U82" s="135">
        <f t="shared" si="99"/>
        <v>26415.125729999971</v>
      </c>
    </row>
    <row r="83" spans="2:21" ht="28.5" x14ac:dyDescent="0.2">
      <c r="B83" s="176" t="s">
        <v>211</v>
      </c>
      <c r="C83" s="177" t="s">
        <v>212</v>
      </c>
      <c r="D83" s="187"/>
      <c r="E83" s="185">
        <v>45870</v>
      </c>
      <c r="F83" s="178" t="s">
        <v>214</v>
      </c>
      <c r="G83" s="179">
        <v>2204600.0299999998</v>
      </c>
      <c r="H83" s="179">
        <v>1852605.07</v>
      </c>
      <c r="I83" s="170" t="s">
        <v>27</v>
      </c>
      <c r="J83" s="171">
        <f>VLOOKUP(I83,retfuente4[#All],3,FALSE)</f>
        <v>498000</v>
      </c>
      <c r="K83" s="48" t="str">
        <f t="shared" si="94"/>
        <v>APLICA</v>
      </c>
      <c r="L83" s="134">
        <f>VLOOKUP(I83,retfuente4[#All],4,FALSE)</f>
        <v>2.5000000000000001E-2</v>
      </c>
      <c r="M83" s="130">
        <f t="shared" si="95"/>
        <v>46315.126750000003</v>
      </c>
      <c r="N83" s="132" t="s">
        <v>77</v>
      </c>
      <c r="O83" s="172">
        <f t="shared" si="100"/>
        <v>498000</v>
      </c>
      <c r="P83" s="133" t="str">
        <f t="shared" si="96"/>
        <v>APLICA</v>
      </c>
      <c r="Q83" s="134">
        <f t="shared" si="101"/>
        <v>6.0000000000000001E-3</v>
      </c>
      <c r="R83" s="130">
        <f t="shared" si="97"/>
        <v>11115.630420000001</v>
      </c>
      <c r="S83" s="135">
        <f t="shared" si="98"/>
        <v>2147169.2728299997</v>
      </c>
      <c r="T83" s="136"/>
      <c r="U83" s="135">
        <f t="shared" si="99"/>
        <v>57430.757170000114</v>
      </c>
    </row>
    <row r="84" spans="2:21" ht="28.5" x14ac:dyDescent="0.2">
      <c r="B84" s="173" t="s">
        <v>211</v>
      </c>
      <c r="C84" s="174" t="s">
        <v>212</v>
      </c>
      <c r="D84" s="187"/>
      <c r="E84" s="184">
        <v>45874</v>
      </c>
      <c r="F84" s="18" t="s">
        <v>215</v>
      </c>
      <c r="G84" s="175">
        <v>50000</v>
      </c>
      <c r="H84" s="175">
        <v>42016.81</v>
      </c>
      <c r="I84" s="170" t="s">
        <v>27</v>
      </c>
      <c r="J84" s="171">
        <f>VLOOKUP(I84,retfuente4[#All],3,FALSE)</f>
        <v>498000</v>
      </c>
      <c r="K84" s="48" t="str">
        <f t="shared" si="94"/>
        <v>NO APLICA</v>
      </c>
      <c r="L84" s="134">
        <f>VLOOKUP(I84,retfuente4[#All],4,FALSE)</f>
        <v>2.5000000000000001E-2</v>
      </c>
      <c r="M84" s="130">
        <f t="shared" si="95"/>
        <v>0</v>
      </c>
      <c r="N84" s="132" t="s">
        <v>77</v>
      </c>
      <c r="O84" s="172">
        <f t="shared" si="100"/>
        <v>498000</v>
      </c>
      <c r="P84" s="133" t="str">
        <f t="shared" si="96"/>
        <v>NO APLICA</v>
      </c>
      <c r="Q84" s="134">
        <f t="shared" si="101"/>
        <v>6.0000000000000001E-3</v>
      </c>
      <c r="R84" s="130">
        <f t="shared" si="97"/>
        <v>0</v>
      </c>
      <c r="S84" s="135">
        <f t="shared" si="98"/>
        <v>50000</v>
      </c>
      <c r="T84" s="136"/>
      <c r="U84" s="135">
        <f t="shared" si="99"/>
        <v>0</v>
      </c>
    </row>
    <row r="85" spans="2:21" ht="28.5" x14ac:dyDescent="0.2">
      <c r="B85" s="176" t="s">
        <v>211</v>
      </c>
      <c r="C85" s="177" t="s">
        <v>212</v>
      </c>
      <c r="D85" s="187"/>
      <c r="E85" s="185">
        <v>45875</v>
      </c>
      <c r="F85" s="178" t="s">
        <v>216</v>
      </c>
      <c r="G85" s="179">
        <v>846000.01</v>
      </c>
      <c r="H85" s="179">
        <v>710924.38</v>
      </c>
      <c r="I85" s="170" t="s">
        <v>27</v>
      </c>
      <c r="J85" s="171">
        <f>VLOOKUP(I85,retfuente4[#All],3,FALSE)</f>
        <v>498000</v>
      </c>
      <c r="K85" s="48" t="str">
        <f t="shared" si="94"/>
        <v>APLICA</v>
      </c>
      <c r="L85" s="134">
        <f>VLOOKUP(I85,retfuente4[#All],4,FALSE)</f>
        <v>2.5000000000000001E-2</v>
      </c>
      <c r="M85" s="130">
        <f t="shared" si="95"/>
        <v>17773.109500000002</v>
      </c>
      <c r="N85" s="132" t="s">
        <v>77</v>
      </c>
      <c r="O85" s="172">
        <f t="shared" si="100"/>
        <v>498000</v>
      </c>
      <c r="P85" s="133" t="str">
        <f t="shared" si="96"/>
        <v>APLICA</v>
      </c>
      <c r="Q85" s="134">
        <f t="shared" si="101"/>
        <v>6.0000000000000001E-3</v>
      </c>
      <c r="R85" s="130">
        <f t="shared" si="97"/>
        <v>4265.5462800000005</v>
      </c>
      <c r="S85" s="135">
        <f t="shared" si="98"/>
        <v>823961.35421999998</v>
      </c>
      <c r="T85" s="136"/>
      <c r="U85" s="135">
        <f t="shared" si="99"/>
        <v>22038.65578000003</v>
      </c>
    </row>
    <row r="86" spans="2:21" ht="28.5" x14ac:dyDescent="0.2">
      <c r="B86" s="173" t="s">
        <v>211</v>
      </c>
      <c r="C86" s="174" t="s">
        <v>212</v>
      </c>
      <c r="D86" s="187"/>
      <c r="E86" s="184">
        <v>45878</v>
      </c>
      <c r="F86" s="18" t="s">
        <v>217</v>
      </c>
      <c r="G86" s="175">
        <v>16999.990000000002</v>
      </c>
      <c r="H86" s="175">
        <v>14285.71</v>
      </c>
      <c r="I86" s="170" t="s">
        <v>27</v>
      </c>
      <c r="J86" s="171">
        <f>VLOOKUP(I86,retfuente4[#All],3,FALSE)</f>
        <v>498000</v>
      </c>
      <c r="K86" s="48" t="str">
        <f t="shared" si="94"/>
        <v>NO APLICA</v>
      </c>
      <c r="L86" s="134">
        <f>VLOOKUP(I86,retfuente4[#All],4,FALSE)</f>
        <v>2.5000000000000001E-2</v>
      </c>
      <c r="M86" s="130">
        <f t="shared" si="95"/>
        <v>0</v>
      </c>
      <c r="N86" s="132" t="s">
        <v>77</v>
      </c>
      <c r="O86" s="172">
        <f t="shared" si="100"/>
        <v>498000</v>
      </c>
      <c r="P86" s="133" t="str">
        <f t="shared" si="96"/>
        <v>NO APLICA</v>
      </c>
      <c r="Q86" s="134">
        <f t="shared" si="101"/>
        <v>6.0000000000000001E-3</v>
      </c>
      <c r="R86" s="130">
        <f t="shared" si="97"/>
        <v>0</v>
      </c>
      <c r="S86" s="135">
        <f t="shared" si="98"/>
        <v>16999.990000000002</v>
      </c>
      <c r="T86" s="136"/>
      <c r="U86" s="135">
        <f t="shared" si="99"/>
        <v>0</v>
      </c>
    </row>
    <row r="87" spans="2:21" ht="28.5" x14ac:dyDescent="0.2">
      <c r="B87" s="176" t="s">
        <v>211</v>
      </c>
      <c r="C87" s="177" t="s">
        <v>212</v>
      </c>
      <c r="D87" s="187"/>
      <c r="E87" s="185">
        <v>45880</v>
      </c>
      <c r="F87" s="178" t="s">
        <v>218</v>
      </c>
      <c r="G87" s="179">
        <v>1016000.02</v>
      </c>
      <c r="H87" s="179">
        <v>853781.53</v>
      </c>
      <c r="I87" s="170" t="s">
        <v>27</v>
      </c>
      <c r="J87" s="171">
        <f>VLOOKUP(I87,retfuente4[#All],3,FALSE)</f>
        <v>498000</v>
      </c>
      <c r="K87" s="48" t="str">
        <f t="shared" si="94"/>
        <v>APLICA</v>
      </c>
      <c r="L87" s="134">
        <f>VLOOKUP(I87,retfuente4[#All],4,FALSE)</f>
        <v>2.5000000000000001E-2</v>
      </c>
      <c r="M87" s="130">
        <f t="shared" si="95"/>
        <v>21344.538250000001</v>
      </c>
      <c r="N87" s="132" t="s">
        <v>77</v>
      </c>
      <c r="O87" s="172">
        <f t="shared" si="100"/>
        <v>498000</v>
      </c>
      <c r="P87" s="133" t="str">
        <f t="shared" si="96"/>
        <v>APLICA</v>
      </c>
      <c r="Q87" s="134">
        <f t="shared" si="101"/>
        <v>6.0000000000000001E-3</v>
      </c>
      <c r="R87" s="130">
        <f t="shared" si="97"/>
        <v>5122.6891800000003</v>
      </c>
      <c r="S87" s="135">
        <f t="shared" si="98"/>
        <v>989532.79257000005</v>
      </c>
      <c r="T87" s="136"/>
      <c r="U87" s="135">
        <f t="shared" si="99"/>
        <v>26467.22742999997</v>
      </c>
    </row>
    <row r="88" spans="2:21" ht="28.5" x14ac:dyDescent="0.2">
      <c r="B88" s="176" t="s">
        <v>211</v>
      </c>
      <c r="C88" s="177" t="s">
        <v>212</v>
      </c>
      <c r="D88" s="187"/>
      <c r="E88" s="185">
        <v>45884</v>
      </c>
      <c r="F88" s="178" t="s">
        <v>219</v>
      </c>
      <c r="G88" s="179">
        <v>3899999.97</v>
      </c>
      <c r="H88" s="179">
        <v>3277310.9</v>
      </c>
      <c r="I88" s="170" t="s">
        <v>27</v>
      </c>
      <c r="J88" s="171">
        <f>VLOOKUP(I88,retfuente4[#All],3,FALSE)</f>
        <v>498000</v>
      </c>
      <c r="K88" s="48" t="str">
        <f t="shared" si="94"/>
        <v>APLICA</v>
      </c>
      <c r="L88" s="134">
        <f>VLOOKUP(I88,retfuente4[#All],4,FALSE)</f>
        <v>2.5000000000000001E-2</v>
      </c>
      <c r="M88" s="130">
        <f t="shared" si="95"/>
        <v>81932.772500000006</v>
      </c>
      <c r="N88" s="132" t="s">
        <v>77</v>
      </c>
      <c r="O88" s="172">
        <f t="shared" si="100"/>
        <v>498000</v>
      </c>
      <c r="P88" s="133" t="str">
        <f t="shared" si="96"/>
        <v>APLICA</v>
      </c>
      <c r="Q88" s="134">
        <f t="shared" si="101"/>
        <v>6.0000000000000001E-3</v>
      </c>
      <c r="R88" s="130">
        <f t="shared" si="97"/>
        <v>19663.865399999999</v>
      </c>
      <c r="S88" s="135">
        <f t="shared" si="98"/>
        <v>3798403.3321000002</v>
      </c>
      <c r="T88" s="136"/>
      <c r="U88" s="135">
        <f t="shared" si="99"/>
        <v>101596.63789999997</v>
      </c>
    </row>
    <row r="89" spans="2:21" ht="28.5" x14ac:dyDescent="0.2">
      <c r="B89" s="173" t="s">
        <v>211</v>
      </c>
      <c r="C89" s="174" t="s">
        <v>212</v>
      </c>
      <c r="D89" s="187"/>
      <c r="E89" s="184">
        <v>45887</v>
      </c>
      <c r="F89" s="18" t="s">
        <v>220</v>
      </c>
      <c r="G89" s="175">
        <v>170000</v>
      </c>
      <c r="H89" s="175">
        <v>142857.14000000001</v>
      </c>
      <c r="I89" s="170" t="s">
        <v>27</v>
      </c>
      <c r="J89" s="171">
        <f>VLOOKUP(I89,retfuente4[#All],3,FALSE)</f>
        <v>498000</v>
      </c>
      <c r="K89" s="48" t="str">
        <f t="shared" si="94"/>
        <v>NO APLICA</v>
      </c>
      <c r="L89" s="134">
        <f>VLOOKUP(I89,retfuente4[#All],4,FALSE)</f>
        <v>2.5000000000000001E-2</v>
      </c>
      <c r="M89" s="130">
        <f t="shared" si="95"/>
        <v>0</v>
      </c>
      <c r="N89" s="132" t="s">
        <v>77</v>
      </c>
      <c r="O89" s="172">
        <f t="shared" si="100"/>
        <v>498000</v>
      </c>
      <c r="P89" s="133" t="str">
        <f t="shared" si="96"/>
        <v>NO APLICA</v>
      </c>
      <c r="Q89" s="134">
        <f t="shared" si="101"/>
        <v>6.0000000000000001E-3</v>
      </c>
      <c r="R89" s="130">
        <f t="shared" si="97"/>
        <v>0</v>
      </c>
      <c r="S89" s="135">
        <f t="shared" si="98"/>
        <v>170000</v>
      </c>
      <c r="T89" s="136"/>
      <c r="U89" s="135">
        <f t="shared" si="99"/>
        <v>0</v>
      </c>
    </row>
    <row r="90" spans="2:21" ht="28.5" x14ac:dyDescent="0.2">
      <c r="B90" s="173" t="s">
        <v>211</v>
      </c>
      <c r="C90" s="174" t="s">
        <v>212</v>
      </c>
      <c r="D90" s="187"/>
      <c r="E90" s="184">
        <v>45890</v>
      </c>
      <c r="F90" s="18" t="s">
        <v>221</v>
      </c>
      <c r="G90" s="175">
        <v>187999.99</v>
      </c>
      <c r="H90" s="175">
        <v>157983.19</v>
      </c>
      <c r="I90" s="170" t="s">
        <v>27</v>
      </c>
      <c r="J90" s="171">
        <f>VLOOKUP(I90,retfuente4[#All],3,FALSE)</f>
        <v>498000</v>
      </c>
      <c r="K90" s="48" t="str">
        <f t="shared" si="94"/>
        <v>NO APLICA</v>
      </c>
      <c r="L90" s="134">
        <f>VLOOKUP(I90,retfuente4[#All],4,FALSE)</f>
        <v>2.5000000000000001E-2</v>
      </c>
      <c r="M90" s="130">
        <f t="shared" si="95"/>
        <v>0</v>
      </c>
      <c r="N90" s="132" t="s">
        <v>77</v>
      </c>
      <c r="O90" s="172">
        <f t="shared" si="100"/>
        <v>498000</v>
      </c>
      <c r="P90" s="133" t="str">
        <f t="shared" si="96"/>
        <v>NO APLICA</v>
      </c>
      <c r="Q90" s="134">
        <f t="shared" si="101"/>
        <v>6.0000000000000001E-3</v>
      </c>
      <c r="R90" s="130">
        <f t="shared" si="97"/>
        <v>0</v>
      </c>
      <c r="S90" s="135">
        <f t="shared" si="98"/>
        <v>187999.99</v>
      </c>
      <c r="T90" s="136"/>
      <c r="U90" s="135">
        <f t="shared" si="99"/>
        <v>0</v>
      </c>
    </row>
    <row r="91" spans="2:21" ht="28.5" x14ac:dyDescent="0.2">
      <c r="B91" s="176" t="s">
        <v>211</v>
      </c>
      <c r="C91" s="177" t="s">
        <v>212</v>
      </c>
      <c r="D91" s="187"/>
      <c r="E91" s="185">
        <v>45891</v>
      </c>
      <c r="F91" s="178" t="s">
        <v>222</v>
      </c>
      <c r="G91" s="179">
        <v>3748999.98</v>
      </c>
      <c r="H91" s="179">
        <v>3150420.15</v>
      </c>
      <c r="I91" s="170" t="s">
        <v>27</v>
      </c>
      <c r="J91" s="171">
        <f>VLOOKUP(I91,retfuente4[#All],3,FALSE)</f>
        <v>498000</v>
      </c>
      <c r="K91" s="48" t="str">
        <f t="shared" si="94"/>
        <v>APLICA</v>
      </c>
      <c r="L91" s="134">
        <f>VLOOKUP(I91,retfuente4[#All],4,FALSE)</f>
        <v>2.5000000000000001E-2</v>
      </c>
      <c r="M91" s="130">
        <f t="shared" si="95"/>
        <v>78760.503750000003</v>
      </c>
      <c r="N91" s="132" t="s">
        <v>77</v>
      </c>
      <c r="O91" s="172">
        <f t="shared" si="100"/>
        <v>498000</v>
      </c>
      <c r="P91" s="133" t="str">
        <f t="shared" si="96"/>
        <v>APLICA</v>
      </c>
      <c r="Q91" s="134">
        <f t="shared" si="101"/>
        <v>6.0000000000000001E-3</v>
      </c>
      <c r="R91" s="130">
        <f t="shared" si="97"/>
        <v>18902.5209</v>
      </c>
      <c r="S91" s="135">
        <f t="shared" si="98"/>
        <v>3651336.9553499999</v>
      </c>
      <c r="T91" s="136"/>
      <c r="U91" s="135">
        <f t="shared" si="99"/>
        <v>97663.024650000036</v>
      </c>
    </row>
    <row r="92" spans="2:21" ht="28.5" x14ac:dyDescent="0.2">
      <c r="B92" s="173" t="s">
        <v>211</v>
      </c>
      <c r="C92" s="174" t="s">
        <v>212</v>
      </c>
      <c r="D92" s="187"/>
      <c r="E92" s="184">
        <v>45892</v>
      </c>
      <c r="F92" s="18" t="s">
        <v>223</v>
      </c>
      <c r="G92" s="175">
        <v>8500</v>
      </c>
      <c r="H92" s="175">
        <v>7142.86</v>
      </c>
      <c r="I92" s="170" t="s">
        <v>27</v>
      </c>
      <c r="J92" s="171">
        <f>VLOOKUP(I92,retfuente4[#All],3,FALSE)</f>
        <v>498000</v>
      </c>
      <c r="K92" s="48" t="str">
        <f t="shared" si="94"/>
        <v>NO APLICA</v>
      </c>
      <c r="L92" s="134">
        <f>VLOOKUP(I92,retfuente4[#All],4,FALSE)</f>
        <v>2.5000000000000001E-2</v>
      </c>
      <c r="M92" s="130">
        <f t="shared" si="95"/>
        <v>0</v>
      </c>
      <c r="N92" s="132" t="s">
        <v>77</v>
      </c>
      <c r="O92" s="172">
        <f t="shared" si="100"/>
        <v>498000</v>
      </c>
      <c r="P92" s="133" t="str">
        <f t="shared" si="96"/>
        <v>NO APLICA</v>
      </c>
      <c r="Q92" s="134">
        <f t="shared" si="101"/>
        <v>6.0000000000000001E-3</v>
      </c>
      <c r="R92" s="130">
        <f t="shared" si="97"/>
        <v>0</v>
      </c>
      <c r="S92" s="135">
        <f t="shared" si="98"/>
        <v>8500</v>
      </c>
      <c r="T92" s="136"/>
      <c r="U92" s="135">
        <f t="shared" si="99"/>
        <v>0</v>
      </c>
    </row>
    <row r="93" spans="2:21" ht="28.5" x14ac:dyDescent="0.2">
      <c r="B93" s="173" t="s">
        <v>211</v>
      </c>
      <c r="C93" s="174" t="s">
        <v>212</v>
      </c>
      <c r="D93" s="187"/>
      <c r="E93" s="184">
        <v>45896</v>
      </c>
      <c r="F93" s="18" t="s">
        <v>224</v>
      </c>
      <c r="G93" s="175">
        <v>155000</v>
      </c>
      <c r="H93" s="175">
        <v>130252.1</v>
      </c>
      <c r="I93" s="170" t="s">
        <v>27</v>
      </c>
      <c r="J93" s="171">
        <f>VLOOKUP(I93,retfuente4[#All],3,FALSE)</f>
        <v>498000</v>
      </c>
      <c r="K93" s="48" t="str">
        <f t="shared" si="94"/>
        <v>NO APLICA</v>
      </c>
      <c r="L93" s="134">
        <f>VLOOKUP(I93,retfuente4[#All],4,FALSE)</f>
        <v>2.5000000000000001E-2</v>
      </c>
      <c r="M93" s="130">
        <f t="shared" si="95"/>
        <v>0</v>
      </c>
      <c r="N93" s="132" t="s">
        <v>77</v>
      </c>
      <c r="O93" s="172">
        <f t="shared" si="100"/>
        <v>498000</v>
      </c>
      <c r="P93" s="133" t="str">
        <f t="shared" si="96"/>
        <v>NO APLICA</v>
      </c>
      <c r="Q93" s="134">
        <f t="shared" si="101"/>
        <v>6.0000000000000001E-3</v>
      </c>
      <c r="R93" s="130">
        <f t="shared" si="97"/>
        <v>0</v>
      </c>
      <c r="S93" s="135">
        <f t="shared" si="98"/>
        <v>155000</v>
      </c>
      <c r="T93" s="136"/>
      <c r="U93" s="135">
        <f t="shared" si="99"/>
        <v>0</v>
      </c>
    </row>
    <row r="94" spans="2:21" ht="28.5" x14ac:dyDescent="0.2">
      <c r="B94" s="173" t="s">
        <v>211</v>
      </c>
      <c r="C94" s="174" t="s">
        <v>212</v>
      </c>
      <c r="D94" s="187"/>
      <c r="E94" s="184">
        <v>45898</v>
      </c>
      <c r="F94" s="18" t="s">
        <v>225</v>
      </c>
      <c r="G94" s="175">
        <v>19000.009999999998</v>
      </c>
      <c r="H94" s="175">
        <v>15966.39</v>
      </c>
      <c r="I94" s="170" t="s">
        <v>27</v>
      </c>
      <c r="J94" s="171">
        <f>VLOOKUP(I94,retfuente4[#All],3,FALSE)</f>
        <v>498000</v>
      </c>
      <c r="K94" s="48" t="str">
        <f t="shared" si="94"/>
        <v>NO APLICA</v>
      </c>
      <c r="L94" s="134">
        <f>VLOOKUP(I94,retfuente4[#All],4,FALSE)</f>
        <v>2.5000000000000001E-2</v>
      </c>
      <c r="M94" s="130">
        <f t="shared" si="95"/>
        <v>0</v>
      </c>
      <c r="N94" s="132" t="s">
        <v>77</v>
      </c>
      <c r="O94" s="172">
        <f t="shared" si="100"/>
        <v>498000</v>
      </c>
      <c r="P94" s="133" t="str">
        <f t="shared" si="96"/>
        <v>NO APLICA</v>
      </c>
      <c r="Q94" s="134">
        <f t="shared" si="101"/>
        <v>6.0000000000000001E-3</v>
      </c>
      <c r="R94" s="130">
        <f t="shared" si="97"/>
        <v>0</v>
      </c>
      <c r="S94" s="135">
        <f t="shared" si="98"/>
        <v>19000.009999999998</v>
      </c>
      <c r="T94" s="136"/>
      <c r="U94" s="135">
        <f t="shared" si="99"/>
        <v>0</v>
      </c>
    </row>
    <row r="95" spans="2:21" ht="28.5" x14ac:dyDescent="0.2">
      <c r="B95" s="180" t="s">
        <v>191</v>
      </c>
      <c r="C95" s="181" t="s">
        <v>192</v>
      </c>
      <c r="D95" s="187"/>
      <c r="E95" s="186">
        <v>45898</v>
      </c>
      <c r="F95" s="182" t="s">
        <v>226</v>
      </c>
      <c r="G95" s="183">
        <v>2970900</v>
      </c>
      <c r="H95" s="183">
        <v>2496554.62</v>
      </c>
      <c r="I95" s="170" t="s">
        <v>27</v>
      </c>
      <c r="J95" s="171">
        <f>VLOOKUP(I95,retfuente4[#All],3,FALSE)</f>
        <v>498000</v>
      </c>
      <c r="K95" s="48" t="str">
        <f t="shared" si="94"/>
        <v>APLICA</v>
      </c>
      <c r="L95" s="134">
        <f>VLOOKUP(I95,retfuente4[#All],4,FALSE)</f>
        <v>2.5000000000000001E-2</v>
      </c>
      <c r="M95" s="130">
        <f t="shared" si="95"/>
        <v>62413.865500000007</v>
      </c>
      <c r="N95" s="132" t="s">
        <v>77</v>
      </c>
      <c r="O95" s="172">
        <f t="shared" si="100"/>
        <v>498000</v>
      </c>
      <c r="P95" s="133" t="str">
        <f t="shared" si="96"/>
        <v>APLICA</v>
      </c>
      <c r="Q95" s="134">
        <f t="shared" si="101"/>
        <v>6.0000000000000001E-3</v>
      </c>
      <c r="R95" s="130">
        <f t="shared" si="97"/>
        <v>14979.327720000001</v>
      </c>
      <c r="S95" s="135">
        <f t="shared" si="98"/>
        <v>2893506.8067800002</v>
      </c>
      <c r="T95" s="136"/>
      <c r="U95" s="135">
        <f t="shared" si="99"/>
        <v>77393.193219999783</v>
      </c>
    </row>
    <row r="96" spans="2:21" ht="28.5" x14ac:dyDescent="0.2">
      <c r="B96" s="173" t="s">
        <v>184</v>
      </c>
      <c r="C96" s="174" t="s">
        <v>185</v>
      </c>
      <c r="D96" s="187"/>
      <c r="E96" s="184">
        <v>45898</v>
      </c>
      <c r="F96" s="18" t="s">
        <v>227</v>
      </c>
      <c r="G96" s="175">
        <v>357400</v>
      </c>
      <c r="H96" s="175">
        <v>300336.13</v>
      </c>
      <c r="I96" s="170" t="s">
        <v>27</v>
      </c>
      <c r="J96" s="171">
        <f>VLOOKUP(I96,retfuente4[#All],3,FALSE)</f>
        <v>498000</v>
      </c>
      <c r="K96" s="48" t="str">
        <f t="shared" si="94"/>
        <v>NO APLICA</v>
      </c>
      <c r="L96" s="134">
        <f>VLOOKUP(I96,retfuente4[#All],4,FALSE)</f>
        <v>2.5000000000000001E-2</v>
      </c>
      <c r="M96" s="130">
        <f t="shared" si="95"/>
        <v>0</v>
      </c>
      <c r="N96" s="132" t="s">
        <v>77</v>
      </c>
      <c r="O96" s="172">
        <f t="shared" si="100"/>
        <v>498000</v>
      </c>
      <c r="P96" s="133" t="str">
        <f t="shared" si="96"/>
        <v>NO APLICA</v>
      </c>
      <c r="Q96" s="134">
        <f t="shared" si="101"/>
        <v>6.0000000000000001E-3</v>
      </c>
      <c r="R96" s="130">
        <f t="shared" si="97"/>
        <v>0</v>
      </c>
      <c r="S96" s="135">
        <f t="shared" si="98"/>
        <v>357400</v>
      </c>
      <c r="T96" s="136"/>
      <c r="U96" s="135">
        <f t="shared" si="99"/>
        <v>0</v>
      </c>
    </row>
    <row r="97" spans="2:21" ht="28.5" x14ac:dyDescent="0.2">
      <c r="B97" s="173" t="s">
        <v>184</v>
      </c>
      <c r="C97" s="174" t="s">
        <v>185</v>
      </c>
      <c r="D97" s="187"/>
      <c r="E97" s="184">
        <v>45889</v>
      </c>
      <c r="F97" s="18" t="s">
        <v>228</v>
      </c>
      <c r="G97" s="175">
        <v>86200</v>
      </c>
      <c r="H97" s="175">
        <v>72436.97</v>
      </c>
      <c r="I97" s="170" t="s">
        <v>27</v>
      </c>
      <c r="J97" s="171">
        <f>VLOOKUP(I97,retfuente4[#All],3,FALSE)</f>
        <v>498000</v>
      </c>
      <c r="K97" s="48" t="str">
        <f t="shared" si="94"/>
        <v>NO APLICA</v>
      </c>
      <c r="L97" s="134">
        <f>VLOOKUP(I97,retfuente4[#All],4,FALSE)</f>
        <v>2.5000000000000001E-2</v>
      </c>
      <c r="M97" s="130">
        <f t="shared" si="95"/>
        <v>0</v>
      </c>
      <c r="N97" s="132" t="s">
        <v>77</v>
      </c>
      <c r="O97" s="172">
        <f t="shared" si="100"/>
        <v>498000</v>
      </c>
      <c r="P97" s="133" t="str">
        <f t="shared" si="96"/>
        <v>NO APLICA</v>
      </c>
      <c r="Q97" s="134">
        <f t="shared" si="101"/>
        <v>6.0000000000000001E-3</v>
      </c>
      <c r="R97" s="130">
        <f t="shared" si="97"/>
        <v>0</v>
      </c>
      <c r="S97" s="135">
        <f t="shared" si="98"/>
        <v>86200</v>
      </c>
      <c r="T97" s="136"/>
      <c r="U97" s="135">
        <f t="shared" si="99"/>
        <v>0</v>
      </c>
    </row>
    <row r="98" spans="2:21" ht="28.5" x14ac:dyDescent="0.2">
      <c r="B98" s="173" t="s">
        <v>184</v>
      </c>
      <c r="C98" s="174" t="s">
        <v>185</v>
      </c>
      <c r="D98" s="187"/>
      <c r="E98" s="184">
        <v>45895</v>
      </c>
      <c r="F98" s="18" t="s">
        <v>229</v>
      </c>
      <c r="G98" s="175">
        <v>476000</v>
      </c>
      <c r="H98" s="175">
        <v>400000</v>
      </c>
      <c r="I98" s="170" t="s">
        <v>27</v>
      </c>
      <c r="J98" s="171">
        <f>VLOOKUP(I98,retfuente4[#All],3,FALSE)</f>
        <v>498000</v>
      </c>
      <c r="K98" s="48" t="str">
        <f t="shared" si="94"/>
        <v>NO APLICA</v>
      </c>
      <c r="L98" s="134">
        <f>VLOOKUP(I98,retfuente4[#All],4,FALSE)</f>
        <v>2.5000000000000001E-2</v>
      </c>
      <c r="M98" s="130">
        <f t="shared" si="95"/>
        <v>0</v>
      </c>
      <c r="N98" s="132" t="s">
        <v>77</v>
      </c>
      <c r="O98" s="172">
        <f t="shared" si="100"/>
        <v>498000</v>
      </c>
      <c r="P98" s="133" t="str">
        <f t="shared" si="96"/>
        <v>NO APLICA</v>
      </c>
      <c r="Q98" s="134">
        <f t="shared" si="101"/>
        <v>6.0000000000000001E-3</v>
      </c>
      <c r="R98" s="130">
        <f t="shared" si="97"/>
        <v>0</v>
      </c>
      <c r="S98" s="135">
        <f t="shared" si="98"/>
        <v>476000</v>
      </c>
      <c r="T98" s="136"/>
      <c r="U98" s="135">
        <f t="shared" si="99"/>
        <v>0</v>
      </c>
    </row>
    <row r="99" spans="2:21" ht="28.5" x14ac:dyDescent="0.2">
      <c r="B99" s="176" t="s">
        <v>184</v>
      </c>
      <c r="C99" s="177" t="s">
        <v>185</v>
      </c>
      <c r="D99" s="187"/>
      <c r="E99" s="185">
        <v>45895</v>
      </c>
      <c r="F99" s="178" t="s">
        <v>230</v>
      </c>
      <c r="G99" s="179">
        <v>7833000</v>
      </c>
      <c r="H99" s="179">
        <v>6582352.9400000004</v>
      </c>
      <c r="I99" s="170" t="s">
        <v>27</v>
      </c>
      <c r="J99" s="171">
        <f>VLOOKUP(I99,retfuente4[#All],3,FALSE)</f>
        <v>498000</v>
      </c>
      <c r="K99" s="48" t="str">
        <f t="shared" si="94"/>
        <v>APLICA</v>
      </c>
      <c r="L99" s="134">
        <f>VLOOKUP(I99,retfuente4[#All],4,FALSE)</f>
        <v>2.5000000000000001E-2</v>
      </c>
      <c r="M99" s="130">
        <f t="shared" si="95"/>
        <v>164558.82350000003</v>
      </c>
      <c r="N99" s="132" t="s">
        <v>77</v>
      </c>
      <c r="O99" s="172">
        <f t="shared" si="100"/>
        <v>498000</v>
      </c>
      <c r="P99" s="133" t="str">
        <f t="shared" si="96"/>
        <v>APLICA</v>
      </c>
      <c r="Q99" s="134">
        <f t="shared" si="101"/>
        <v>6.0000000000000001E-3</v>
      </c>
      <c r="R99" s="130">
        <f t="shared" si="97"/>
        <v>39494.117640000004</v>
      </c>
      <c r="S99" s="135">
        <f t="shared" si="98"/>
        <v>7628947.0588600002</v>
      </c>
      <c r="T99" s="136"/>
      <c r="U99" s="135">
        <f t="shared" si="99"/>
        <v>204052.94113999978</v>
      </c>
    </row>
    <row r="100" spans="2:21" ht="28.5" x14ac:dyDescent="0.2">
      <c r="B100" s="176" t="s">
        <v>184</v>
      </c>
      <c r="C100" s="177" t="s">
        <v>185</v>
      </c>
      <c r="D100" s="187"/>
      <c r="E100" s="185">
        <v>45882</v>
      </c>
      <c r="F100" s="178" t="s">
        <v>231</v>
      </c>
      <c r="G100" s="179">
        <v>10960116</v>
      </c>
      <c r="H100" s="179">
        <v>9210181.5099999998</v>
      </c>
      <c r="I100" s="170" t="s">
        <v>27</v>
      </c>
      <c r="J100" s="171">
        <f>VLOOKUP(I100,retfuente4[#All],3,FALSE)</f>
        <v>498000</v>
      </c>
      <c r="K100" s="48" t="str">
        <f t="shared" si="94"/>
        <v>APLICA</v>
      </c>
      <c r="L100" s="134">
        <f>VLOOKUP(I100,retfuente4[#All],4,FALSE)</f>
        <v>2.5000000000000001E-2</v>
      </c>
      <c r="M100" s="130">
        <f t="shared" si="95"/>
        <v>230254.53775000002</v>
      </c>
      <c r="N100" s="132" t="s">
        <v>77</v>
      </c>
      <c r="O100" s="172">
        <f t="shared" si="100"/>
        <v>498000</v>
      </c>
      <c r="P100" s="133" t="str">
        <f t="shared" si="96"/>
        <v>APLICA</v>
      </c>
      <c r="Q100" s="134">
        <f t="shared" si="101"/>
        <v>6.0000000000000001E-3</v>
      </c>
      <c r="R100" s="130">
        <f t="shared" si="97"/>
        <v>55261.089059999998</v>
      </c>
      <c r="S100" s="135">
        <f t="shared" si="98"/>
        <v>10674600.373190001</v>
      </c>
      <c r="T100" s="136"/>
      <c r="U100" s="135">
        <f t="shared" si="99"/>
        <v>285515.62680999935</v>
      </c>
    </row>
    <row r="101" spans="2:21" ht="28.5" x14ac:dyDescent="0.2">
      <c r="B101" s="180" t="s">
        <v>191</v>
      </c>
      <c r="C101" s="181" t="s">
        <v>192</v>
      </c>
      <c r="D101" s="187"/>
      <c r="E101" s="186">
        <v>45899</v>
      </c>
      <c r="F101" s="182" t="s">
        <v>232</v>
      </c>
      <c r="G101" s="183">
        <v>4645400</v>
      </c>
      <c r="H101" s="183">
        <v>3903697.48</v>
      </c>
      <c r="I101" s="170" t="s">
        <v>27</v>
      </c>
      <c r="J101" s="171">
        <f>VLOOKUP(I101,retfuente4[#All],3,FALSE)</f>
        <v>498000</v>
      </c>
      <c r="K101" s="48" t="str">
        <f t="shared" si="94"/>
        <v>APLICA</v>
      </c>
      <c r="L101" s="134">
        <f>VLOOKUP(I101,retfuente4[#All],4,FALSE)</f>
        <v>2.5000000000000001E-2</v>
      </c>
      <c r="M101" s="130">
        <f t="shared" si="95"/>
        <v>97592.437000000005</v>
      </c>
      <c r="N101" s="132" t="s">
        <v>77</v>
      </c>
      <c r="O101" s="172">
        <f t="shared" si="100"/>
        <v>498000</v>
      </c>
      <c r="P101" s="133" t="str">
        <f t="shared" si="96"/>
        <v>APLICA</v>
      </c>
      <c r="Q101" s="134">
        <f t="shared" si="101"/>
        <v>6.0000000000000001E-3</v>
      </c>
      <c r="R101" s="130">
        <f t="shared" si="97"/>
        <v>23422.184880000001</v>
      </c>
      <c r="S101" s="135">
        <f t="shared" si="98"/>
        <v>4524385.3781199995</v>
      </c>
      <c r="T101" s="136"/>
      <c r="U101" s="135">
        <f t="shared" si="99"/>
        <v>121014.62188000046</v>
      </c>
    </row>
    <row r="102" spans="2:21" ht="28.5" x14ac:dyDescent="0.2">
      <c r="B102" s="173" t="s">
        <v>184</v>
      </c>
      <c r="C102" s="174">
        <v>1124848579</v>
      </c>
      <c r="D102" s="187"/>
      <c r="E102" s="161">
        <v>45929</v>
      </c>
      <c r="F102" s="18" t="s">
        <v>233</v>
      </c>
      <c r="G102" s="18">
        <v>690000</v>
      </c>
      <c r="H102" s="18">
        <v>579831.93000000005</v>
      </c>
      <c r="I102" s="170" t="s">
        <v>27</v>
      </c>
      <c r="J102" s="171">
        <f>VLOOKUP(I102,retfuente4[#All],3,FALSE)</f>
        <v>498000</v>
      </c>
      <c r="K102" s="48" t="str">
        <f t="shared" ref="K102:K165" si="102">IF(J102&gt;=H102,"NO APLICA","APLICA")</f>
        <v>APLICA</v>
      </c>
      <c r="L102" s="134">
        <f>VLOOKUP(I102,retfuente4[#All],4,FALSE)</f>
        <v>2.5000000000000001E-2</v>
      </c>
      <c r="M102" s="130">
        <f t="shared" ref="M102:M165" si="103">IF(K102="APLICA",H102*L102,0)</f>
        <v>14495.798250000002</v>
      </c>
      <c r="N102" s="132" t="s">
        <v>77</v>
      </c>
      <c r="O102" s="172">
        <f t="shared" si="100"/>
        <v>498000</v>
      </c>
      <c r="P102" s="133" t="str">
        <f t="shared" ref="P102:P165" si="104">IF($P$3&gt;=H102,"NO APLICA","APLICA")</f>
        <v>APLICA</v>
      </c>
      <c r="Q102" s="134">
        <f t="shared" si="101"/>
        <v>6.0000000000000001E-3</v>
      </c>
      <c r="R102" s="130">
        <f t="shared" ref="R102:R165" si="105">IF(P102="APLICA",H102*Q102,0)</f>
        <v>3478.9915800000003</v>
      </c>
      <c r="S102" s="135">
        <f t="shared" ref="S102:S165" si="106">G102-(R102+M102)</f>
        <v>672025.21016999998</v>
      </c>
      <c r="T102" s="136"/>
      <c r="U102" s="135">
        <f t="shared" ref="U102:U165" si="107">G102-S102</f>
        <v>17974.789830000023</v>
      </c>
    </row>
    <row r="103" spans="2:21" ht="28.5" x14ac:dyDescent="0.2">
      <c r="B103" s="173" t="s">
        <v>184</v>
      </c>
      <c r="C103" s="174">
        <v>1124848579</v>
      </c>
      <c r="D103" s="187"/>
      <c r="E103" s="161">
        <v>45929</v>
      </c>
      <c r="F103" s="18" t="s">
        <v>234</v>
      </c>
      <c r="G103" s="18">
        <v>691200</v>
      </c>
      <c r="H103" s="18">
        <v>580840.34</v>
      </c>
      <c r="I103" s="170" t="s">
        <v>27</v>
      </c>
      <c r="J103" s="171">
        <f>VLOOKUP(I103,retfuente4[#All],3,FALSE)</f>
        <v>498000</v>
      </c>
      <c r="K103" s="48" t="str">
        <f t="shared" si="102"/>
        <v>APLICA</v>
      </c>
      <c r="L103" s="134">
        <f>VLOOKUP(I103,retfuente4[#All],4,FALSE)</f>
        <v>2.5000000000000001E-2</v>
      </c>
      <c r="M103" s="130">
        <f t="shared" si="103"/>
        <v>14521.0085</v>
      </c>
      <c r="N103" s="132" t="s">
        <v>77</v>
      </c>
      <c r="O103" s="172">
        <f t="shared" ref="O103:O134" si="108">VLOOKUP(N103,RETEICAJULIO2025,3,FALSE)</f>
        <v>498000</v>
      </c>
      <c r="P103" s="133" t="str">
        <f t="shared" si="104"/>
        <v>APLICA</v>
      </c>
      <c r="Q103" s="134">
        <f t="shared" ref="Q103:Q134" si="109">VLOOKUP(N103,RETEICAJULIO2025,4,FALSE)</f>
        <v>6.0000000000000001E-3</v>
      </c>
      <c r="R103" s="130">
        <f t="shared" si="105"/>
        <v>3485.0420399999998</v>
      </c>
      <c r="S103" s="135">
        <f t="shared" si="106"/>
        <v>673193.94946000003</v>
      </c>
      <c r="T103" s="136"/>
      <c r="U103" s="135">
        <f t="shared" si="107"/>
        <v>18006.050539999967</v>
      </c>
    </row>
    <row r="104" spans="2:21" ht="28.5" x14ac:dyDescent="0.2">
      <c r="B104" s="173" t="s">
        <v>184</v>
      </c>
      <c r="C104" s="174">
        <v>1124848579</v>
      </c>
      <c r="D104" s="187"/>
      <c r="E104" s="161">
        <v>45910</v>
      </c>
      <c r="F104" s="18" t="s">
        <v>235</v>
      </c>
      <c r="G104" s="18">
        <v>1035000</v>
      </c>
      <c r="H104" s="18">
        <v>869747.9</v>
      </c>
      <c r="I104" s="170" t="s">
        <v>27</v>
      </c>
      <c r="J104" s="171">
        <f>VLOOKUP(I104,retfuente4[#All],3,FALSE)</f>
        <v>498000</v>
      </c>
      <c r="K104" s="48" t="str">
        <f t="shared" si="102"/>
        <v>APLICA</v>
      </c>
      <c r="L104" s="134">
        <f>VLOOKUP(I104,retfuente4[#All],4,FALSE)</f>
        <v>2.5000000000000001E-2</v>
      </c>
      <c r="M104" s="130">
        <f t="shared" si="103"/>
        <v>21743.697500000002</v>
      </c>
      <c r="N104" s="132" t="s">
        <v>77</v>
      </c>
      <c r="O104" s="172">
        <f t="shared" si="108"/>
        <v>498000</v>
      </c>
      <c r="P104" s="133" t="str">
        <f t="shared" si="104"/>
        <v>APLICA</v>
      </c>
      <c r="Q104" s="134">
        <f t="shared" si="109"/>
        <v>6.0000000000000001E-3</v>
      </c>
      <c r="R104" s="130">
        <f t="shared" si="105"/>
        <v>5218.4874</v>
      </c>
      <c r="S104" s="135">
        <f t="shared" si="106"/>
        <v>1008037.8151</v>
      </c>
      <c r="T104" s="136"/>
      <c r="U104" s="135">
        <f t="shared" si="107"/>
        <v>26962.184899999993</v>
      </c>
    </row>
    <row r="105" spans="2:21" ht="28.5" x14ac:dyDescent="0.2">
      <c r="B105" s="173" t="s">
        <v>191</v>
      </c>
      <c r="C105" s="174">
        <v>901262650</v>
      </c>
      <c r="D105" s="187"/>
      <c r="E105" s="161">
        <v>45911</v>
      </c>
      <c r="F105" s="18" t="s">
        <v>236</v>
      </c>
      <c r="G105" s="18">
        <v>250400</v>
      </c>
      <c r="H105" s="18">
        <v>210420.17</v>
      </c>
      <c r="I105" s="170" t="s">
        <v>27</v>
      </c>
      <c r="J105" s="171">
        <f>VLOOKUP(I105,retfuente4[#All],3,FALSE)</f>
        <v>498000</v>
      </c>
      <c r="K105" s="48" t="str">
        <f t="shared" si="102"/>
        <v>NO APLICA</v>
      </c>
      <c r="L105" s="134">
        <f>VLOOKUP(I105,retfuente4[#All],4,FALSE)</f>
        <v>2.5000000000000001E-2</v>
      </c>
      <c r="M105" s="130">
        <f t="shared" si="103"/>
        <v>0</v>
      </c>
      <c r="N105" s="132" t="s">
        <v>77</v>
      </c>
      <c r="O105" s="172">
        <f t="shared" si="108"/>
        <v>498000</v>
      </c>
      <c r="P105" s="133" t="str">
        <f t="shared" si="104"/>
        <v>NO APLICA</v>
      </c>
      <c r="Q105" s="134">
        <f t="shared" si="109"/>
        <v>6.0000000000000001E-3</v>
      </c>
      <c r="R105" s="130">
        <f t="shared" si="105"/>
        <v>0</v>
      </c>
      <c r="S105" s="135">
        <f t="shared" si="106"/>
        <v>250400</v>
      </c>
      <c r="T105" s="136"/>
      <c r="U105" s="135">
        <f t="shared" si="107"/>
        <v>0</v>
      </c>
    </row>
    <row r="106" spans="2:21" ht="28.5" x14ac:dyDescent="0.2">
      <c r="B106" s="173" t="s">
        <v>191</v>
      </c>
      <c r="C106" s="174">
        <v>901262650</v>
      </c>
      <c r="D106" s="187"/>
      <c r="E106" s="161">
        <v>45904</v>
      </c>
      <c r="F106" s="18" t="s">
        <v>237</v>
      </c>
      <c r="G106" s="18">
        <v>401000</v>
      </c>
      <c r="H106" s="18">
        <v>336974.79</v>
      </c>
      <c r="I106" s="170" t="s">
        <v>27</v>
      </c>
      <c r="J106" s="171">
        <f>VLOOKUP(I106,retfuente4[#All],3,FALSE)</f>
        <v>498000</v>
      </c>
      <c r="K106" s="48" t="str">
        <f t="shared" si="102"/>
        <v>NO APLICA</v>
      </c>
      <c r="L106" s="134">
        <f>VLOOKUP(I106,retfuente4[#All],4,FALSE)</f>
        <v>2.5000000000000001E-2</v>
      </c>
      <c r="M106" s="130">
        <f t="shared" si="103"/>
        <v>0</v>
      </c>
      <c r="N106" s="132" t="s">
        <v>77</v>
      </c>
      <c r="O106" s="172">
        <f t="shared" si="108"/>
        <v>498000</v>
      </c>
      <c r="P106" s="133" t="str">
        <f t="shared" si="104"/>
        <v>NO APLICA</v>
      </c>
      <c r="Q106" s="134">
        <f t="shared" si="109"/>
        <v>6.0000000000000001E-3</v>
      </c>
      <c r="R106" s="130">
        <f t="shared" si="105"/>
        <v>0</v>
      </c>
      <c r="S106" s="135">
        <f t="shared" si="106"/>
        <v>401000</v>
      </c>
      <c r="T106" s="136"/>
      <c r="U106" s="135">
        <f t="shared" si="107"/>
        <v>0</v>
      </c>
    </row>
    <row r="107" spans="2:21" ht="28.5" x14ac:dyDescent="0.2">
      <c r="B107" s="173" t="s">
        <v>184</v>
      </c>
      <c r="C107" s="174">
        <v>1124848579</v>
      </c>
      <c r="D107" s="187"/>
      <c r="E107" s="161">
        <v>45922</v>
      </c>
      <c r="F107" s="18" t="s">
        <v>238</v>
      </c>
      <c r="G107" s="18">
        <v>40800</v>
      </c>
      <c r="H107" s="18">
        <v>34285.71</v>
      </c>
      <c r="I107" s="170" t="s">
        <v>27</v>
      </c>
      <c r="J107" s="171">
        <f>VLOOKUP(I107,retfuente4[#All],3,FALSE)</f>
        <v>498000</v>
      </c>
      <c r="K107" s="48" t="str">
        <f t="shared" si="102"/>
        <v>NO APLICA</v>
      </c>
      <c r="L107" s="134">
        <f>VLOOKUP(I107,retfuente4[#All],4,FALSE)</f>
        <v>2.5000000000000001E-2</v>
      </c>
      <c r="M107" s="130">
        <f t="shared" si="103"/>
        <v>0</v>
      </c>
      <c r="N107" s="132" t="s">
        <v>77</v>
      </c>
      <c r="O107" s="172">
        <f t="shared" si="108"/>
        <v>498000</v>
      </c>
      <c r="P107" s="133" t="str">
        <f t="shared" si="104"/>
        <v>NO APLICA</v>
      </c>
      <c r="Q107" s="134">
        <f t="shared" si="109"/>
        <v>6.0000000000000001E-3</v>
      </c>
      <c r="R107" s="130">
        <f t="shared" si="105"/>
        <v>0</v>
      </c>
      <c r="S107" s="135">
        <f t="shared" si="106"/>
        <v>40800</v>
      </c>
      <c r="T107" s="136"/>
      <c r="U107" s="135">
        <f t="shared" si="107"/>
        <v>0</v>
      </c>
    </row>
    <row r="108" spans="2:21" ht="28.5" x14ac:dyDescent="0.2">
      <c r="B108" s="173" t="s">
        <v>184</v>
      </c>
      <c r="C108" s="174">
        <v>1124848579</v>
      </c>
      <c r="D108" s="187"/>
      <c r="E108" s="161">
        <v>45904</v>
      </c>
      <c r="F108" s="18" t="s">
        <v>239</v>
      </c>
      <c r="G108" s="18">
        <v>720040</v>
      </c>
      <c r="H108" s="18">
        <v>605075.63</v>
      </c>
      <c r="I108" s="170" t="s">
        <v>27</v>
      </c>
      <c r="J108" s="171">
        <f>VLOOKUP(I108,retfuente4[#All],3,FALSE)</f>
        <v>498000</v>
      </c>
      <c r="K108" s="48" t="str">
        <f t="shared" si="102"/>
        <v>APLICA</v>
      </c>
      <c r="L108" s="134">
        <f>VLOOKUP(I108,retfuente4[#All],4,FALSE)</f>
        <v>2.5000000000000001E-2</v>
      </c>
      <c r="M108" s="130">
        <f t="shared" si="103"/>
        <v>15126.89075</v>
      </c>
      <c r="N108" s="132" t="s">
        <v>77</v>
      </c>
      <c r="O108" s="172">
        <f t="shared" si="108"/>
        <v>498000</v>
      </c>
      <c r="P108" s="133" t="str">
        <f t="shared" si="104"/>
        <v>APLICA</v>
      </c>
      <c r="Q108" s="134">
        <f t="shared" si="109"/>
        <v>6.0000000000000001E-3</v>
      </c>
      <c r="R108" s="130">
        <f t="shared" si="105"/>
        <v>3630.4537800000003</v>
      </c>
      <c r="S108" s="135">
        <f t="shared" si="106"/>
        <v>701282.65547</v>
      </c>
      <c r="T108" s="136"/>
      <c r="U108" s="135">
        <f t="shared" si="107"/>
        <v>18757.344530000002</v>
      </c>
    </row>
    <row r="109" spans="2:21" ht="28.5" x14ac:dyDescent="0.2">
      <c r="B109" s="173" t="s">
        <v>240</v>
      </c>
      <c r="C109" s="174">
        <v>52382064</v>
      </c>
      <c r="D109" s="187"/>
      <c r="E109" s="161">
        <v>45901</v>
      </c>
      <c r="F109" s="18" t="s">
        <v>241</v>
      </c>
      <c r="G109" s="18">
        <v>530000</v>
      </c>
      <c r="H109" s="18">
        <v>445378.15</v>
      </c>
      <c r="I109" s="170" t="s">
        <v>27</v>
      </c>
      <c r="J109" s="171">
        <f>VLOOKUP(I109,retfuente4[#All],3,FALSE)</f>
        <v>498000</v>
      </c>
      <c r="K109" s="48" t="str">
        <f t="shared" si="102"/>
        <v>NO APLICA</v>
      </c>
      <c r="L109" s="134">
        <f>VLOOKUP(I109,retfuente4[#All],4,FALSE)</f>
        <v>2.5000000000000001E-2</v>
      </c>
      <c r="M109" s="130">
        <f t="shared" si="103"/>
        <v>0</v>
      </c>
      <c r="N109" s="132" t="s">
        <v>77</v>
      </c>
      <c r="O109" s="172">
        <f t="shared" si="108"/>
        <v>498000</v>
      </c>
      <c r="P109" s="133" t="str">
        <f t="shared" si="104"/>
        <v>NO APLICA</v>
      </c>
      <c r="Q109" s="134">
        <f t="shared" si="109"/>
        <v>6.0000000000000001E-3</v>
      </c>
      <c r="R109" s="130">
        <f t="shared" si="105"/>
        <v>0</v>
      </c>
      <c r="S109" s="135">
        <f t="shared" si="106"/>
        <v>530000</v>
      </c>
      <c r="T109" s="136"/>
      <c r="U109" s="135">
        <f t="shared" si="107"/>
        <v>0</v>
      </c>
    </row>
    <row r="110" spans="2:21" ht="28.5" x14ac:dyDescent="0.2">
      <c r="B110" s="173" t="s">
        <v>184</v>
      </c>
      <c r="C110" s="174" t="s">
        <v>185</v>
      </c>
      <c r="D110" s="187"/>
      <c r="E110" s="161">
        <v>45926</v>
      </c>
      <c r="F110" s="18" t="s">
        <v>242</v>
      </c>
      <c r="G110" s="18">
        <v>203000</v>
      </c>
      <c r="H110" s="18">
        <v>170588.24</v>
      </c>
      <c r="I110" s="170" t="s">
        <v>27</v>
      </c>
      <c r="J110" s="171">
        <f>VLOOKUP(I110,retfuente4[#All],3,FALSE)</f>
        <v>498000</v>
      </c>
      <c r="K110" s="48" t="str">
        <f t="shared" si="102"/>
        <v>NO APLICA</v>
      </c>
      <c r="L110" s="134">
        <f>VLOOKUP(I110,retfuente4[#All],4,FALSE)</f>
        <v>2.5000000000000001E-2</v>
      </c>
      <c r="M110" s="130">
        <f t="shared" si="103"/>
        <v>0</v>
      </c>
      <c r="N110" s="132" t="s">
        <v>77</v>
      </c>
      <c r="O110" s="172">
        <f t="shared" si="108"/>
        <v>498000</v>
      </c>
      <c r="P110" s="133" t="str">
        <f t="shared" si="104"/>
        <v>NO APLICA</v>
      </c>
      <c r="Q110" s="134">
        <f t="shared" si="109"/>
        <v>6.0000000000000001E-3</v>
      </c>
      <c r="R110" s="130">
        <f t="shared" si="105"/>
        <v>0</v>
      </c>
      <c r="S110" s="135">
        <f t="shared" si="106"/>
        <v>203000</v>
      </c>
      <c r="T110" s="136"/>
      <c r="U110" s="135">
        <f t="shared" si="107"/>
        <v>0</v>
      </c>
    </row>
    <row r="111" spans="2:21" ht="28.5" x14ac:dyDescent="0.2">
      <c r="B111" s="173" t="s">
        <v>184</v>
      </c>
      <c r="C111" s="174" t="s">
        <v>185</v>
      </c>
      <c r="D111" s="187"/>
      <c r="E111" s="184">
        <v>45904</v>
      </c>
      <c r="F111" s="18" t="s">
        <v>243</v>
      </c>
      <c r="G111" s="18">
        <v>127000</v>
      </c>
      <c r="H111" s="18">
        <v>106722.69</v>
      </c>
      <c r="I111" s="170" t="s">
        <v>27</v>
      </c>
      <c r="J111" s="171">
        <f>VLOOKUP(I111,retfuente4[#All],3,FALSE)</f>
        <v>498000</v>
      </c>
      <c r="K111" s="48" t="str">
        <f t="shared" si="102"/>
        <v>NO APLICA</v>
      </c>
      <c r="L111" s="134">
        <f>VLOOKUP(I111,retfuente4[#All],4,FALSE)</f>
        <v>2.5000000000000001E-2</v>
      </c>
      <c r="M111" s="130">
        <f t="shared" si="103"/>
        <v>0</v>
      </c>
      <c r="N111" s="132" t="s">
        <v>77</v>
      </c>
      <c r="O111" s="172">
        <f t="shared" si="108"/>
        <v>498000</v>
      </c>
      <c r="P111" s="133" t="str">
        <f t="shared" si="104"/>
        <v>NO APLICA</v>
      </c>
      <c r="Q111" s="134">
        <f t="shared" si="109"/>
        <v>6.0000000000000001E-3</v>
      </c>
      <c r="R111" s="130">
        <f t="shared" si="105"/>
        <v>0</v>
      </c>
      <c r="S111" s="135">
        <f t="shared" si="106"/>
        <v>127000</v>
      </c>
      <c r="T111" s="136"/>
      <c r="U111" s="135">
        <f t="shared" si="107"/>
        <v>0</v>
      </c>
    </row>
    <row r="112" spans="2:21" ht="28.5" x14ac:dyDescent="0.2">
      <c r="B112" s="173" t="s">
        <v>184</v>
      </c>
      <c r="C112" s="174" t="s">
        <v>185</v>
      </c>
      <c r="D112" s="187"/>
      <c r="E112" s="184">
        <v>45909</v>
      </c>
      <c r="F112" s="18" t="s">
        <v>244</v>
      </c>
      <c r="G112" s="18">
        <v>158000</v>
      </c>
      <c r="H112" s="18">
        <v>132773.10999999999</v>
      </c>
      <c r="I112" s="170" t="s">
        <v>27</v>
      </c>
      <c r="J112" s="171">
        <f>VLOOKUP(I112,retfuente4[#All],3,FALSE)</f>
        <v>498000</v>
      </c>
      <c r="K112" s="48" t="str">
        <f t="shared" si="102"/>
        <v>NO APLICA</v>
      </c>
      <c r="L112" s="134">
        <f>VLOOKUP(I112,retfuente4[#All],4,FALSE)</f>
        <v>2.5000000000000001E-2</v>
      </c>
      <c r="M112" s="130">
        <f t="shared" si="103"/>
        <v>0</v>
      </c>
      <c r="N112" s="132" t="s">
        <v>77</v>
      </c>
      <c r="O112" s="172">
        <f t="shared" si="108"/>
        <v>498000</v>
      </c>
      <c r="P112" s="133" t="str">
        <f t="shared" si="104"/>
        <v>NO APLICA</v>
      </c>
      <c r="Q112" s="134">
        <f t="shared" si="109"/>
        <v>6.0000000000000001E-3</v>
      </c>
      <c r="R112" s="130">
        <f t="shared" si="105"/>
        <v>0</v>
      </c>
      <c r="S112" s="135">
        <f t="shared" si="106"/>
        <v>158000</v>
      </c>
      <c r="T112" s="136"/>
      <c r="U112" s="135">
        <f t="shared" si="107"/>
        <v>0</v>
      </c>
    </row>
    <row r="113" spans="2:21" ht="28.5" x14ac:dyDescent="0.2">
      <c r="B113" s="173" t="s">
        <v>245</v>
      </c>
      <c r="C113" s="174" t="s">
        <v>246</v>
      </c>
      <c r="D113" s="187"/>
      <c r="E113" s="184">
        <v>45908</v>
      </c>
      <c r="F113" s="18" t="s">
        <v>247</v>
      </c>
      <c r="G113" s="18">
        <v>17000</v>
      </c>
      <c r="H113" s="18">
        <v>14285.71</v>
      </c>
      <c r="I113" s="170" t="s">
        <v>27</v>
      </c>
      <c r="J113" s="171">
        <f>VLOOKUP(I113,retfuente4[#All],3,FALSE)</f>
        <v>498000</v>
      </c>
      <c r="K113" s="48" t="str">
        <f t="shared" si="102"/>
        <v>NO APLICA</v>
      </c>
      <c r="L113" s="134">
        <f>VLOOKUP(I113,retfuente4[#All],4,FALSE)</f>
        <v>2.5000000000000001E-2</v>
      </c>
      <c r="M113" s="130">
        <f t="shared" si="103"/>
        <v>0</v>
      </c>
      <c r="N113" s="132" t="s">
        <v>77</v>
      </c>
      <c r="O113" s="172">
        <f t="shared" si="108"/>
        <v>498000</v>
      </c>
      <c r="P113" s="133" t="str">
        <f t="shared" si="104"/>
        <v>NO APLICA</v>
      </c>
      <c r="Q113" s="134">
        <f t="shared" si="109"/>
        <v>6.0000000000000001E-3</v>
      </c>
      <c r="R113" s="130">
        <f t="shared" si="105"/>
        <v>0</v>
      </c>
      <c r="S113" s="135">
        <f t="shared" si="106"/>
        <v>17000</v>
      </c>
      <c r="T113" s="136"/>
      <c r="U113" s="135">
        <f t="shared" si="107"/>
        <v>0</v>
      </c>
    </row>
    <row r="114" spans="2:21" ht="28.5" x14ac:dyDescent="0.2">
      <c r="B114" s="173" t="s">
        <v>184</v>
      </c>
      <c r="C114" s="174" t="s">
        <v>185</v>
      </c>
      <c r="D114" s="187"/>
      <c r="E114" s="184">
        <v>45922</v>
      </c>
      <c r="F114" s="18" t="s">
        <v>248</v>
      </c>
      <c r="G114" s="18">
        <v>24000</v>
      </c>
      <c r="H114" s="18">
        <v>20168.07</v>
      </c>
      <c r="I114" s="170" t="s">
        <v>27</v>
      </c>
      <c r="J114" s="171">
        <f>VLOOKUP(I114,retfuente4[#All],3,FALSE)</f>
        <v>498000</v>
      </c>
      <c r="K114" s="48" t="str">
        <f t="shared" si="102"/>
        <v>NO APLICA</v>
      </c>
      <c r="L114" s="134">
        <f>VLOOKUP(I114,retfuente4[#All],4,FALSE)</f>
        <v>2.5000000000000001E-2</v>
      </c>
      <c r="M114" s="130">
        <f t="shared" si="103"/>
        <v>0</v>
      </c>
      <c r="N114" s="132" t="s">
        <v>77</v>
      </c>
      <c r="O114" s="172">
        <f t="shared" si="108"/>
        <v>498000</v>
      </c>
      <c r="P114" s="133" t="str">
        <f t="shared" si="104"/>
        <v>NO APLICA</v>
      </c>
      <c r="Q114" s="134">
        <f t="shared" si="109"/>
        <v>6.0000000000000001E-3</v>
      </c>
      <c r="R114" s="130">
        <f t="shared" si="105"/>
        <v>0</v>
      </c>
      <c r="S114" s="135">
        <f t="shared" si="106"/>
        <v>24000</v>
      </c>
      <c r="T114" s="136"/>
      <c r="U114" s="135">
        <f t="shared" si="107"/>
        <v>0</v>
      </c>
    </row>
    <row r="115" spans="2:21" ht="28.5" x14ac:dyDescent="0.2">
      <c r="B115" s="173" t="s">
        <v>245</v>
      </c>
      <c r="C115" s="174" t="s">
        <v>246</v>
      </c>
      <c r="D115" s="187"/>
      <c r="E115" s="184">
        <v>45925</v>
      </c>
      <c r="F115" s="18" t="s">
        <v>249</v>
      </c>
      <c r="G115" s="18">
        <v>199300</v>
      </c>
      <c r="H115" s="18">
        <v>167478.99</v>
      </c>
      <c r="I115" s="170" t="s">
        <v>27</v>
      </c>
      <c r="J115" s="171">
        <f>VLOOKUP(I115,retfuente4[#All],3,FALSE)</f>
        <v>498000</v>
      </c>
      <c r="K115" s="48" t="str">
        <f t="shared" si="102"/>
        <v>NO APLICA</v>
      </c>
      <c r="L115" s="134">
        <f>VLOOKUP(I115,retfuente4[#All],4,FALSE)</f>
        <v>2.5000000000000001E-2</v>
      </c>
      <c r="M115" s="130">
        <f t="shared" si="103"/>
        <v>0</v>
      </c>
      <c r="N115" s="132" t="s">
        <v>77</v>
      </c>
      <c r="O115" s="172">
        <f t="shared" si="108"/>
        <v>498000</v>
      </c>
      <c r="P115" s="133" t="str">
        <f t="shared" si="104"/>
        <v>NO APLICA</v>
      </c>
      <c r="Q115" s="134">
        <f t="shared" si="109"/>
        <v>6.0000000000000001E-3</v>
      </c>
      <c r="R115" s="130">
        <f t="shared" si="105"/>
        <v>0</v>
      </c>
      <c r="S115" s="135">
        <f t="shared" si="106"/>
        <v>199300</v>
      </c>
      <c r="T115" s="136"/>
      <c r="U115" s="135">
        <f t="shared" si="107"/>
        <v>0</v>
      </c>
    </row>
    <row r="116" spans="2:21" ht="28.5" x14ac:dyDescent="0.2">
      <c r="B116" s="173" t="s">
        <v>184</v>
      </c>
      <c r="C116" s="174" t="s">
        <v>185</v>
      </c>
      <c r="D116" s="187"/>
      <c r="E116" s="184">
        <v>45910</v>
      </c>
      <c r="F116" s="18" t="s">
        <v>250</v>
      </c>
      <c r="G116" s="18">
        <v>22000</v>
      </c>
      <c r="H116" s="18">
        <v>18487.39</v>
      </c>
      <c r="I116" s="170" t="s">
        <v>27</v>
      </c>
      <c r="J116" s="171">
        <f>VLOOKUP(I116,retfuente4[#All],3,FALSE)</f>
        <v>498000</v>
      </c>
      <c r="K116" s="48" t="str">
        <f t="shared" si="102"/>
        <v>NO APLICA</v>
      </c>
      <c r="L116" s="134">
        <f>VLOOKUP(I116,retfuente4[#All],4,FALSE)</f>
        <v>2.5000000000000001E-2</v>
      </c>
      <c r="M116" s="130">
        <f t="shared" si="103"/>
        <v>0</v>
      </c>
      <c r="N116" s="132" t="s">
        <v>77</v>
      </c>
      <c r="O116" s="172">
        <f t="shared" si="108"/>
        <v>498000</v>
      </c>
      <c r="P116" s="133" t="str">
        <f t="shared" si="104"/>
        <v>NO APLICA</v>
      </c>
      <c r="Q116" s="134">
        <f t="shared" si="109"/>
        <v>6.0000000000000001E-3</v>
      </c>
      <c r="R116" s="130">
        <f t="shared" si="105"/>
        <v>0</v>
      </c>
      <c r="S116" s="135">
        <f t="shared" si="106"/>
        <v>22000</v>
      </c>
      <c r="T116" s="136"/>
      <c r="U116" s="135">
        <f t="shared" si="107"/>
        <v>0</v>
      </c>
    </row>
    <row r="117" spans="2:21" ht="28.5" x14ac:dyDescent="0.2">
      <c r="B117" s="173" t="s">
        <v>240</v>
      </c>
      <c r="C117" s="174" t="s">
        <v>251</v>
      </c>
      <c r="D117" s="187"/>
      <c r="E117" s="184">
        <v>45922</v>
      </c>
      <c r="F117" s="18" t="s">
        <v>252</v>
      </c>
      <c r="G117" s="18">
        <v>212000</v>
      </c>
      <c r="H117" s="18">
        <v>178151.26</v>
      </c>
      <c r="I117" s="170" t="s">
        <v>27</v>
      </c>
      <c r="J117" s="171">
        <f>VLOOKUP(I117,retfuente4[#All],3,FALSE)</f>
        <v>498000</v>
      </c>
      <c r="K117" s="48" t="str">
        <f t="shared" si="102"/>
        <v>NO APLICA</v>
      </c>
      <c r="L117" s="134">
        <f>VLOOKUP(I117,retfuente4[#All],4,FALSE)</f>
        <v>2.5000000000000001E-2</v>
      </c>
      <c r="M117" s="130">
        <f t="shared" si="103"/>
        <v>0</v>
      </c>
      <c r="N117" s="132" t="s">
        <v>77</v>
      </c>
      <c r="O117" s="172">
        <f t="shared" si="108"/>
        <v>498000</v>
      </c>
      <c r="P117" s="133" t="str">
        <f t="shared" si="104"/>
        <v>NO APLICA</v>
      </c>
      <c r="Q117" s="134">
        <f t="shared" si="109"/>
        <v>6.0000000000000001E-3</v>
      </c>
      <c r="R117" s="130">
        <f t="shared" si="105"/>
        <v>0</v>
      </c>
      <c r="S117" s="135">
        <f t="shared" si="106"/>
        <v>212000</v>
      </c>
      <c r="T117" s="136"/>
      <c r="U117" s="135">
        <f t="shared" si="107"/>
        <v>0</v>
      </c>
    </row>
    <row r="118" spans="2:21" ht="28.5" x14ac:dyDescent="0.2">
      <c r="B118" s="173" t="s">
        <v>191</v>
      </c>
      <c r="C118" s="174" t="s">
        <v>192</v>
      </c>
      <c r="D118" s="187"/>
      <c r="E118" s="184">
        <v>45903</v>
      </c>
      <c r="F118" s="18" t="s">
        <v>253</v>
      </c>
      <c r="G118" s="18">
        <v>1104700</v>
      </c>
      <c r="H118" s="18">
        <v>928319.33</v>
      </c>
      <c r="I118" s="170" t="s">
        <v>27</v>
      </c>
      <c r="J118" s="171">
        <f>VLOOKUP(I118,retfuente4[#All],3,FALSE)</f>
        <v>498000</v>
      </c>
      <c r="K118" s="48" t="str">
        <f t="shared" si="102"/>
        <v>APLICA</v>
      </c>
      <c r="L118" s="134">
        <f>VLOOKUP(I118,retfuente4[#All],4,FALSE)</f>
        <v>2.5000000000000001E-2</v>
      </c>
      <c r="M118" s="130">
        <f t="shared" si="103"/>
        <v>23207.983250000001</v>
      </c>
      <c r="N118" s="132" t="s">
        <v>77</v>
      </c>
      <c r="O118" s="172">
        <f t="shared" si="108"/>
        <v>498000</v>
      </c>
      <c r="P118" s="133" t="str">
        <f t="shared" si="104"/>
        <v>APLICA</v>
      </c>
      <c r="Q118" s="134">
        <f t="shared" si="109"/>
        <v>6.0000000000000001E-3</v>
      </c>
      <c r="R118" s="130">
        <f t="shared" si="105"/>
        <v>5569.9159799999998</v>
      </c>
      <c r="S118" s="135">
        <f t="shared" si="106"/>
        <v>1075922.1007699999</v>
      </c>
      <c r="T118" s="136"/>
      <c r="U118" s="135">
        <f t="shared" si="107"/>
        <v>28777.899230000097</v>
      </c>
    </row>
    <row r="119" spans="2:21" ht="28.5" x14ac:dyDescent="0.2">
      <c r="B119" s="173" t="s">
        <v>184</v>
      </c>
      <c r="C119" s="174" t="s">
        <v>185</v>
      </c>
      <c r="D119" s="187"/>
      <c r="E119" s="184">
        <v>45916</v>
      </c>
      <c r="F119" s="18" t="s">
        <v>254</v>
      </c>
      <c r="G119" s="18">
        <v>690000</v>
      </c>
      <c r="H119" s="18">
        <v>579831.93000000005</v>
      </c>
      <c r="I119" s="170" t="s">
        <v>27</v>
      </c>
      <c r="J119" s="171">
        <f>VLOOKUP(I119,retfuente4[#All],3,FALSE)</f>
        <v>498000</v>
      </c>
      <c r="K119" s="48" t="str">
        <f t="shared" si="102"/>
        <v>APLICA</v>
      </c>
      <c r="L119" s="134">
        <f>VLOOKUP(I119,retfuente4[#All],4,FALSE)</f>
        <v>2.5000000000000001E-2</v>
      </c>
      <c r="M119" s="130">
        <f t="shared" si="103"/>
        <v>14495.798250000002</v>
      </c>
      <c r="N119" s="132" t="s">
        <v>77</v>
      </c>
      <c r="O119" s="172">
        <f t="shared" si="108"/>
        <v>498000</v>
      </c>
      <c r="P119" s="133" t="str">
        <f t="shared" si="104"/>
        <v>APLICA</v>
      </c>
      <c r="Q119" s="134">
        <f t="shared" si="109"/>
        <v>6.0000000000000001E-3</v>
      </c>
      <c r="R119" s="130">
        <f t="shared" si="105"/>
        <v>3478.9915800000003</v>
      </c>
      <c r="S119" s="135">
        <f t="shared" si="106"/>
        <v>672025.21016999998</v>
      </c>
      <c r="T119" s="136"/>
      <c r="U119" s="135">
        <f t="shared" si="107"/>
        <v>17974.789830000023</v>
      </c>
    </row>
    <row r="120" spans="2:21" ht="28.5" x14ac:dyDescent="0.2">
      <c r="B120" s="173" t="s">
        <v>184</v>
      </c>
      <c r="C120" s="174" t="s">
        <v>185</v>
      </c>
      <c r="D120" s="187"/>
      <c r="E120" s="184">
        <v>45904</v>
      </c>
      <c r="F120" s="18" t="s">
        <v>255</v>
      </c>
      <c r="G120" s="18">
        <v>77000</v>
      </c>
      <c r="H120" s="18">
        <v>64705.88</v>
      </c>
      <c r="I120" s="170" t="s">
        <v>27</v>
      </c>
      <c r="J120" s="171">
        <f>VLOOKUP(I120,retfuente4[#All],3,FALSE)</f>
        <v>498000</v>
      </c>
      <c r="K120" s="48" t="str">
        <f t="shared" si="102"/>
        <v>NO APLICA</v>
      </c>
      <c r="L120" s="134">
        <f>VLOOKUP(I120,retfuente4[#All],4,FALSE)</f>
        <v>2.5000000000000001E-2</v>
      </c>
      <c r="M120" s="130">
        <f t="shared" si="103"/>
        <v>0</v>
      </c>
      <c r="N120" s="132" t="s">
        <v>77</v>
      </c>
      <c r="O120" s="172">
        <f t="shared" si="108"/>
        <v>498000</v>
      </c>
      <c r="P120" s="133" t="str">
        <f t="shared" si="104"/>
        <v>NO APLICA</v>
      </c>
      <c r="Q120" s="134">
        <f t="shared" si="109"/>
        <v>6.0000000000000001E-3</v>
      </c>
      <c r="R120" s="130">
        <f t="shared" si="105"/>
        <v>0</v>
      </c>
      <c r="S120" s="135">
        <f t="shared" si="106"/>
        <v>77000</v>
      </c>
      <c r="T120" s="136"/>
      <c r="U120" s="135">
        <f t="shared" si="107"/>
        <v>0</v>
      </c>
    </row>
    <row r="121" spans="2:21" ht="28.5" x14ac:dyDescent="0.2">
      <c r="B121" s="173" t="s">
        <v>184</v>
      </c>
      <c r="C121" s="174" t="s">
        <v>185</v>
      </c>
      <c r="D121" s="187"/>
      <c r="E121" s="184">
        <v>45904</v>
      </c>
      <c r="F121" s="18" t="s">
        <v>256</v>
      </c>
      <c r="G121" s="18">
        <v>77000</v>
      </c>
      <c r="H121" s="18">
        <v>64705.88</v>
      </c>
      <c r="I121" s="170" t="s">
        <v>27</v>
      </c>
      <c r="J121" s="171">
        <f>VLOOKUP(I121,retfuente4[#All],3,FALSE)</f>
        <v>498000</v>
      </c>
      <c r="K121" s="48" t="str">
        <f t="shared" si="102"/>
        <v>NO APLICA</v>
      </c>
      <c r="L121" s="134">
        <f>VLOOKUP(I121,retfuente4[#All],4,FALSE)</f>
        <v>2.5000000000000001E-2</v>
      </c>
      <c r="M121" s="130">
        <f t="shared" si="103"/>
        <v>0</v>
      </c>
      <c r="N121" s="132" t="s">
        <v>77</v>
      </c>
      <c r="O121" s="172">
        <f t="shared" si="108"/>
        <v>498000</v>
      </c>
      <c r="P121" s="133" t="str">
        <f t="shared" si="104"/>
        <v>NO APLICA</v>
      </c>
      <c r="Q121" s="134">
        <f t="shared" si="109"/>
        <v>6.0000000000000001E-3</v>
      </c>
      <c r="R121" s="130">
        <f t="shared" si="105"/>
        <v>0</v>
      </c>
      <c r="S121" s="135">
        <f t="shared" si="106"/>
        <v>77000</v>
      </c>
      <c r="T121" s="136"/>
      <c r="U121" s="135">
        <f t="shared" si="107"/>
        <v>0</v>
      </c>
    </row>
    <row r="122" spans="2:21" ht="28.5" x14ac:dyDescent="0.2">
      <c r="B122" s="173" t="s">
        <v>245</v>
      </c>
      <c r="C122" s="174" t="s">
        <v>246</v>
      </c>
      <c r="D122" s="187"/>
      <c r="E122" s="184">
        <v>45922</v>
      </c>
      <c r="F122" s="18" t="s">
        <v>257</v>
      </c>
      <c r="G122" s="18">
        <v>54700</v>
      </c>
      <c r="H122" s="18">
        <v>45966.39</v>
      </c>
      <c r="I122" s="170" t="s">
        <v>27</v>
      </c>
      <c r="J122" s="171">
        <f>VLOOKUP(I122,retfuente4[#All],3,FALSE)</f>
        <v>498000</v>
      </c>
      <c r="K122" s="48" t="str">
        <f t="shared" si="102"/>
        <v>NO APLICA</v>
      </c>
      <c r="L122" s="134">
        <f>VLOOKUP(I122,retfuente4[#All],4,FALSE)</f>
        <v>2.5000000000000001E-2</v>
      </c>
      <c r="M122" s="130">
        <f t="shared" si="103"/>
        <v>0</v>
      </c>
      <c r="N122" s="132" t="s">
        <v>77</v>
      </c>
      <c r="O122" s="172">
        <f t="shared" si="108"/>
        <v>498000</v>
      </c>
      <c r="P122" s="133" t="str">
        <f t="shared" si="104"/>
        <v>NO APLICA</v>
      </c>
      <c r="Q122" s="134">
        <f t="shared" si="109"/>
        <v>6.0000000000000001E-3</v>
      </c>
      <c r="R122" s="130">
        <f t="shared" si="105"/>
        <v>0</v>
      </c>
      <c r="S122" s="135">
        <f t="shared" si="106"/>
        <v>54700</v>
      </c>
      <c r="T122" s="136"/>
      <c r="U122" s="135">
        <f t="shared" si="107"/>
        <v>0</v>
      </c>
    </row>
    <row r="123" spans="2:21" ht="28.5" x14ac:dyDescent="0.2">
      <c r="B123" s="173" t="s">
        <v>184</v>
      </c>
      <c r="C123" s="174" t="s">
        <v>185</v>
      </c>
      <c r="D123" s="187"/>
      <c r="E123" s="184">
        <v>45917</v>
      </c>
      <c r="F123" s="18" t="s">
        <v>258</v>
      </c>
      <c r="G123" s="18">
        <v>265800</v>
      </c>
      <c r="H123" s="18">
        <v>223361.34</v>
      </c>
      <c r="I123" s="170" t="s">
        <v>27</v>
      </c>
      <c r="J123" s="171">
        <f>VLOOKUP(I123,retfuente4[#All],3,FALSE)</f>
        <v>498000</v>
      </c>
      <c r="K123" s="48" t="str">
        <f t="shared" si="102"/>
        <v>NO APLICA</v>
      </c>
      <c r="L123" s="134">
        <f>VLOOKUP(I123,retfuente4[#All],4,FALSE)</f>
        <v>2.5000000000000001E-2</v>
      </c>
      <c r="M123" s="130">
        <f t="shared" si="103"/>
        <v>0</v>
      </c>
      <c r="N123" s="132" t="s">
        <v>77</v>
      </c>
      <c r="O123" s="172">
        <f t="shared" si="108"/>
        <v>498000</v>
      </c>
      <c r="P123" s="133" t="str">
        <f t="shared" si="104"/>
        <v>NO APLICA</v>
      </c>
      <c r="Q123" s="134">
        <f t="shared" si="109"/>
        <v>6.0000000000000001E-3</v>
      </c>
      <c r="R123" s="130">
        <f t="shared" si="105"/>
        <v>0</v>
      </c>
      <c r="S123" s="135">
        <f t="shared" si="106"/>
        <v>265800</v>
      </c>
      <c r="T123" s="136"/>
      <c r="U123" s="135">
        <f t="shared" si="107"/>
        <v>0</v>
      </c>
    </row>
    <row r="124" spans="2:21" ht="28.5" x14ac:dyDescent="0.2">
      <c r="B124" s="173" t="s">
        <v>184</v>
      </c>
      <c r="C124" s="174" t="s">
        <v>185</v>
      </c>
      <c r="D124" s="187"/>
      <c r="E124" s="184">
        <v>45912</v>
      </c>
      <c r="F124" s="18" t="s">
        <v>259</v>
      </c>
      <c r="G124" s="18">
        <v>39900</v>
      </c>
      <c r="H124" s="18">
        <v>33529.410000000003</v>
      </c>
      <c r="I124" s="170" t="s">
        <v>27</v>
      </c>
      <c r="J124" s="171">
        <f>VLOOKUP(I124,retfuente4[#All],3,FALSE)</f>
        <v>498000</v>
      </c>
      <c r="K124" s="48" t="str">
        <f t="shared" si="102"/>
        <v>NO APLICA</v>
      </c>
      <c r="L124" s="134">
        <f>VLOOKUP(I124,retfuente4[#All],4,FALSE)</f>
        <v>2.5000000000000001E-2</v>
      </c>
      <c r="M124" s="130">
        <f t="shared" si="103"/>
        <v>0</v>
      </c>
      <c r="N124" s="132" t="s">
        <v>77</v>
      </c>
      <c r="O124" s="172">
        <f t="shared" si="108"/>
        <v>498000</v>
      </c>
      <c r="P124" s="133" t="str">
        <f t="shared" si="104"/>
        <v>NO APLICA</v>
      </c>
      <c r="Q124" s="134">
        <f t="shared" si="109"/>
        <v>6.0000000000000001E-3</v>
      </c>
      <c r="R124" s="130">
        <f t="shared" si="105"/>
        <v>0</v>
      </c>
      <c r="S124" s="135">
        <f t="shared" si="106"/>
        <v>39900</v>
      </c>
      <c r="T124" s="136"/>
      <c r="U124" s="135">
        <f t="shared" si="107"/>
        <v>0</v>
      </c>
    </row>
    <row r="125" spans="2:21" ht="28.5" x14ac:dyDescent="0.2">
      <c r="B125" s="173" t="s">
        <v>191</v>
      </c>
      <c r="C125" s="174" t="s">
        <v>192</v>
      </c>
      <c r="D125" s="187"/>
      <c r="E125" s="184">
        <v>45927</v>
      </c>
      <c r="F125" s="18" t="s">
        <v>260</v>
      </c>
      <c r="G125" s="18">
        <v>152300</v>
      </c>
      <c r="H125" s="18">
        <v>127983.19</v>
      </c>
      <c r="I125" s="170" t="s">
        <v>27</v>
      </c>
      <c r="J125" s="171">
        <f>VLOOKUP(I125,retfuente4[#All],3,FALSE)</f>
        <v>498000</v>
      </c>
      <c r="K125" s="48" t="str">
        <f t="shared" si="102"/>
        <v>NO APLICA</v>
      </c>
      <c r="L125" s="134">
        <f>VLOOKUP(I125,retfuente4[#All],4,FALSE)</f>
        <v>2.5000000000000001E-2</v>
      </c>
      <c r="M125" s="130">
        <f t="shared" si="103"/>
        <v>0</v>
      </c>
      <c r="N125" s="132" t="s">
        <v>77</v>
      </c>
      <c r="O125" s="172">
        <f t="shared" si="108"/>
        <v>498000</v>
      </c>
      <c r="P125" s="133" t="str">
        <f t="shared" si="104"/>
        <v>NO APLICA</v>
      </c>
      <c r="Q125" s="134">
        <f t="shared" si="109"/>
        <v>6.0000000000000001E-3</v>
      </c>
      <c r="R125" s="130">
        <f t="shared" si="105"/>
        <v>0</v>
      </c>
      <c r="S125" s="135">
        <f t="shared" si="106"/>
        <v>152300</v>
      </c>
      <c r="T125" s="136"/>
      <c r="U125" s="135">
        <f t="shared" si="107"/>
        <v>0</v>
      </c>
    </row>
    <row r="126" spans="2:21" ht="28.5" x14ac:dyDescent="0.2">
      <c r="B126" s="173" t="s">
        <v>245</v>
      </c>
      <c r="C126" s="174" t="s">
        <v>246</v>
      </c>
      <c r="D126" s="187"/>
      <c r="E126" s="184">
        <v>45910</v>
      </c>
      <c r="F126" s="18" t="s">
        <v>261</v>
      </c>
      <c r="G126" s="18">
        <v>157500</v>
      </c>
      <c r="H126" s="18">
        <v>132352.94</v>
      </c>
      <c r="I126" s="170" t="s">
        <v>27</v>
      </c>
      <c r="J126" s="171">
        <f>VLOOKUP(I126,retfuente4[#All],3,FALSE)</f>
        <v>498000</v>
      </c>
      <c r="K126" s="48" t="str">
        <f t="shared" si="102"/>
        <v>NO APLICA</v>
      </c>
      <c r="L126" s="134">
        <f>VLOOKUP(I126,retfuente4[#All],4,FALSE)</f>
        <v>2.5000000000000001E-2</v>
      </c>
      <c r="M126" s="130">
        <f t="shared" si="103"/>
        <v>0</v>
      </c>
      <c r="N126" s="132" t="s">
        <v>77</v>
      </c>
      <c r="O126" s="172">
        <f t="shared" si="108"/>
        <v>498000</v>
      </c>
      <c r="P126" s="133" t="str">
        <f t="shared" si="104"/>
        <v>NO APLICA</v>
      </c>
      <c r="Q126" s="134">
        <f t="shared" si="109"/>
        <v>6.0000000000000001E-3</v>
      </c>
      <c r="R126" s="130">
        <f t="shared" si="105"/>
        <v>0</v>
      </c>
      <c r="S126" s="135">
        <f t="shared" si="106"/>
        <v>157500</v>
      </c>
      <c r="T126" s="136"/>
      <c r="U126" s="135">
        <f t="shared" si="107"/>
        <v>0</v>
      </c>
    </row>
    <row r="127" spans="2:21" ht="28.5" x14ac:dyDescent="0.2">
      <c r="B127" s="173" t="s">
        <v>191</v>
      </c>
      <c r="C127" s="174" t="s">
        <v>192</v>
      </c>
      <c r="D127" s="187"/>
      <c r="E127" s="184">
        <v>45916</v>
      </c>
      <c r="F127" s="18" t="s">
        <v>262</v>
      </c>
      <c r="G127" s="18">
        <v>2450000</v>
      </c>
      <c r="H127" s="18">
        <v>2123487.39</v>
      </c>
      <c r="I127" s="170" t="s">
        <v>27</v>
      </c>
      <c r="J127" s="171">
        <f>VLOOKUP(I127,retfuente4[#All],3,FALSE)</f>
        <v>498000</v>
      </c>
      <c r="K127" s="48" t="str">
        <f t="shared" si="102"/>
        <v>APLICA</v>
      </c>
      <c r="L127" s="134">
        <f>VLOOKUP(I127,retfuente4[#All],4,FALSE)</f>
        <v>2.5000000000000001E-2</v>
      </c>
      <c r="M127" s="130">
        <f t="shared" si="103"/>
        <v>53087.184750000008</v>
      </c>
      <c r="N127" s="132" t="s">
        <v>77</v>
      </c>
      <c r="O127" s="172">
        <f t="shared" si="108"/>
        <v>498000</v>
      </c>
      <c r="P127" s="133" t="str">
        <f t="shared" si="104"/>
        <v>APLICA</v>
      </c>
      <c r="Q127" s="134">
        <f t="shared" si="109"/>
        <v>6.0000000000000001E-3</v>
      </c>
      <c r="R127" s="130">
        <f t="shared" si="105"/>
        <v>12740.924340000001</v>
      </c>
      <c r="S127" s="135">
        <f t="shared" si="106"/>
        <v>2384171.8909100001</v>
      </c>
      <c r="T127" s="136"/>
      <c r="U127" s="135">
        <f t="shared" si="107"/>
        <v>65828.109089999925</v>
      </c>
    </row>
    <row r="128" spans="2:21" ht="28.5" x14ac:dyDescent="0.2">
      <c r="B128" s="173" t="s">
        <v>191</v>
      </c>
      <c r="C128" s="174" t="s">
        <v>192</v>
      </c>
      <c r="D128" s="187"/>
      <c r="E128" s="184">
        <v>45924</v>
      </c>
      <c r="F128" s="18" t="s">
        <v>263</v>
      </c>
      <c r="G128" s="18">
        <v>3522228</v>
      </c>
      <c r="H128" s="18">
        <v>3053993.15</v>
      </c>
      <c r="I128" s="170" t="s">
        <v>27</v>
      </c>
      <c r="J128" s="171">
        <f>VLOOKUP(I128,retfuente4[#All],3,FALSE)</f>
        <v>498000</v>
      </c>
      <c r="K128" s="48" t="str">
        <f t="shared" si="102"/>
        <v>APLICA</v>
      </c>
      <c r="L128" s="134">
        <f>VLOOKUP(I128,retfuente4[#All],4,FALSE)</f>
        <v>2.5000000000000001E-2</v>
      </c>
      <c r="M128" s="130">
        <f t="shared" si="103"/>
        <v>76349.828750000001</v>
      </c>
      <c r="N128" s="132" t="s">
        <v>77</v>
      </c>
      <c r="O128" s="172">
        <f t="shared" si="108"/>
        <v>498000</v>
      </c>
      <c r="P128" s="133" t="str">
        <f t="shared" si="104"/>
        <v>APLICA</v>
      </c>
      <c r="Q128" s="134">
        <f t="shared" si="109"/>
        <v>6.0000000000000001E-3</v>
      </c>
      <c r="R128" s="130">
        <f t="shared" si="105"/>
        <v>18323.958900000001</v>
      </c>
      <c r="S128" s="135">
        <f t="shared" si="106"/>
        <v>3427554.2123500002</v>
      </c>
      <c r="T128" s="136"/>
      <c r="U128" s="135">
        <f t="shared" si="107"/>
        <v>94673.787649999838</v>
      </c>
    </row>
    <row r="129" spans="2:21" ht="28.5" x14ac:dyDescent="0.2">
      <c r="B129" s="173" t="s">
        <v>184</v>
      </c>
      <c r="C129" s="174" t="s">
        <v>185</v>
      </c>
      <c r="D129" s="187"/>
      <c r="E129" s="184">
        <v>45917</v>
      </c>
      <c r="F129" s="18" t="s">
        <v>264</v>
      </c>
      <c r="G129" s="18">
        <v>145000</v>
      </c>
      <c r="H129" s="18">
        <v>121848.74</v>
      </c>
      <c r="I129" s="170" t="s">
        <v>27</v>
      </c>
      <c r="J129" s="171">
        <f>VLOOKUP(I129,retfuente4[#All],3,FALSE)</f>
        <v>498000</v>
      </c>
      <c r="K129" s="48" t="str">
        <f t="shared" si="102"/>
        <v>NO APLICA</v>
      </c>
      <c r="L129" s="134">
        <f>VLOOKUP(I129,retfuente4[#All],4,FALSE)</f>
        <v>2.5000000000000001E-2</v>
      </c>
      <c r="M129" s="130">
        <f t="shared" si="103"/>
        <v>0</v>
      </c>
      <c r="N129" s="132" t="s">
        <v>77</v>
      </c>
      <c r="O129" s="172">
        <f t="shared" si="108"/>
        <v>498000</v>
      </c>
      <c r="P129" s="133" t="str">
        <f t="shared" si="104"/>
        <v>NO APLICA</v>
      </c>
      <c r="Q129" s="134">
        <f t="shared" si="109"/>
        <v>6.0000000000000001E-3</v>
      </c>
      <c r="R129" s="130">
        <f t="shared" si="105"/>
        <v>0</v>
      </c>
      <c r="S129" s="135">
        <f t="shared" si="106"/>
        <v>145000</v>
      </c>
      <c r="T129" s="136"/>
      <c r="U129" s="135">
        <f t="shared" si="107"/>
        <v>0</v>
      </c>
    </row>
    <row r="130" spans="2:21" ht="28.5" x14ac:dyDescent="0.2">
      <c r="B130" s="173" t="s">
        <v>245</v>
      </c>
      <c r="C130" s="174" t="s">
        <v>246</v>
      </c>
      <c r="D130" s="187"/>
      <c r="E130" s="184">
        <v>45910</v>
      </c>
      <c r="F130" s="18" t="s">
        <v>265</v>
      </c>
      <c r="G130" s="18">
        <v>167386</v>
      </c>
      <c r="H130" s="18">
        <v>140660.5</v>
      </c>
      <c r="I130" s="170" t="s">
        <v>27</v>
      </c>
      <c r="J130" s="171">
        <f>VLOOKUP(I130,retfuente4[#All],3,FALSE)</f>
        <v>498000</v>
      </c>
      <c r="K130" s="48" t="str">
        <f t="shared" si="102"/>
        <v>NO APLICA</v>
      </c>
      <c r="L130" s="134">
        <f>VLOOKUP(I130,retfuente4[#All],4,FALSE)</f>
        <v>2.5000000000000001E-2</v>
      </c>
      <c r="M130" s="130">
        <f t="shared" si="103"/>
        <v>0</v>
      </c>
      <c r="N130" s="132" t="s">
        <v>77</v>
      </c>
      <c r="O130" s="172">
        <f t="shared" si="108"/>
        <v>498000</v>
      </c>
      <c r="P130" s="133" t="str">
        <f t="shared" si="104"/>
        <v>NO APLICA</v>
      </c>
      <c r="Q130" s="134">
        <f t="shared" si="109"/>
        <v>6.0000000000000001E-3</v>
      </c>
      <c r="R130" s="130">
        <f t="shared" si="105"/>
        <v>0</v>
      </c>
      <c r="S130" s="135">
        <f t="shared" si="106"/>
        <v>167386</v>
      </c>
      <c r="T130" s="136"/>
      <c r="U130" s="135">
        <f t="shared" si="107"/>
        <v>0</v>
      </c>
    </row>
    <row r="131" spans="2:21" ht="28.5" x14ac:dyDescent="0.2">
      <c r="B131" s="173" t="s">
        <v>184</v>
      </c>
      <c r="C131" s="174" t="s">
        <v>185</v>
      </c>
      <c r="D131" s="187"/>
      <c r="E131" s="184">
        <v>45910</v>
      </c>
      <c r="F131" s="18" t="s">
        <v>266</v>
      </c>
      <c r="G131" s="18">
        <v>1035000</v>
      </c>
      <c r="H131" s="18">
        <v>869747.9</v>
      </c>
      <c r="I131" s="170" t="s">
        <v>27</v>
      </c>
      <c r="J131" s="171">
        <f>VLOOKUP(I131,retfuente4[#All],3,FALSE)</f>
        <v>498000</v>
      </c>
      <c r="K131" s="48" t="str">
        <f t="shared" si="102"/>
        <v>APLICA</v>
      </c>
      <c r="L131" s="134">
        <f>VLOOKUP(I131,retfuente4[#All],4,FALSE)</f>
        <v>2.5000000000000001E-2</v>
      </c>
      <c r="M131" s="130">
        <f t="shared" si="103"/>
        <v>21743.697500000002</v>
      </c>
      <c r="N131" s="132" t="s">
        <v>77</v>
      </c>
      <c r="O131" s="172">
        <f t="shared" si="108"/>
        <v>498000</v>
      </c>
      <c r="P131" s="133" t="str">
        <f t="shared" si="104"/>
        <v>APLICA</v>
      </c>
      <c r="Q131" s="134">
        <f t="shared" si="109"/>
        <v>6.0000000000000001E-3</v>
      </c>
      <c r="R131" s="130">
        <f t="shared" si="105"/>
        <v>5218.4874</v>
      </c>
      <c r="S131" s="135">
        <f t="shared" si="106"/>
        <v>1008037.8151</v>
      </c>
      <c r="T131" s="136"/>
      <c r="U131" s="135">
        <f t="shared" si="107"/>
        <v>26962.184899999993</v>
      </c>
    </row>
    <row r="132" spans="2:21" ht="28.5" x14ac:dyDescent="0.2">
      <c r="B132" s="173" t="s">
        <v>184</v>
      </c>
      <c r="C132" s="174" t="s">
        <v>185</v>
      </c>
      <c r="D132" s="187"/>
      <c r="E132" s="184">
        <v>45927</v>
      </c>
      <c r="F132" s="18" t="s">
        <v>267</v>
      </c>
      <c r="G132" s="18">
        <v>302158</v>
      </c>
      <c r="H132" s="18">
        <v>253914.29</v>
      </c>
      <c r="I132" s="170" t="s">
        <v>27</v>
      </c>
      <c r="J132" s="171">
        <f>VLOOKUP(I132,retfuente4[#All],3,FALSE)</f>
        <v>498000</v>
      </c>
      <c r="K132" s="48" t="str">
        <f t="shared" si="102"/>
        <v>NO APLICA</v>
      </c>
      <c r="L132" s="134">
        <f>VLOOKUP(I132,retfuente4[#All],4,FALSE)</f>
        <v>2.5000000000000001E-2</v>
      </c>
      <c r="M132" s="130">
        <f t="shared" si="103"/>
        <v>0</v>
      </c>
      <c r="N132" s="132" t="s">
        <v>77</v>
      </c>
      <c r="O132" s="172">
        <f t="shared" si="108"/>
        <v>498000</v>
      </c>
      <c r="P132" s="133" t="str">
        <f t="shared" si="104"/>
        <v>NO APLICA</v>
      </c>
      <c r="Q132" s="134">
        <f t="shared" si="109"/>
        <v>6.0000000000000001E-3</v>
      </c>
      <c r="R132" s="130">
        <f t="shared" si="105"/>
        <v>0</v>
      </c>
      <c r="S132" s="135">
        <f t="shared" si="106"/>
        <v>302158</v>
      </c>
      <c r="T132" s="136"/>
      <c r="U132" s="135">
        <f t="shared" si="107"/>
        <v>0</v>
      </c>
    </row>
    <row r="133" spans="2:21" ht="28.5" x14ac:dyDescent="0.2">
      <c r="B133" s="173" t="s">
        <v>245</v>
      </c>
      <c r="C133" s="174" t="s">
        <v>246</v>
      </c>
      <c r="D133" s="187"/>
      <c r="E133" s="184">
        <v>45903</v>
      </c>
      <c r="F133" s="18" t="s">
        <v>268</v>
      </c>
      <c r="G133" s="18">
        <v>26800</v>
      </c>
      <c r="H133" s="18">
        <v>22521.01</v>
      </c>
      <c r="I133" s="170" t="s">
        <v>27</v>
      </c>
      <c r="J133" s="171">
        <f>VLOOKUP(I133,retfuente4[#All],3,FALSE)</f>
        <v>498000</v>
      </c>
      <c r="K133" s="48" t="str">
        <f t="shared" si="102"/>
        <v>NO APLICA</v>
      </c>
      <c r="L133" s="134">
        <f>VLOOKUP(I133,retfuente4[#All],4,FALSE)</f>
        <v>2.5000000000000001E-2</v>
      </c>
      <c r="M133" s="130">
        <f t="shared" si="103"/>
        <v>0</v>
      </c>
      <c r="N133" s="132" t="s">
        <v>77</v>
      </c>
      <c r="O133" s="172">
        <f t="shared" si="108"/>
        <v>498000</v>
      </c>
      <c r="P133" s="133" t="str">
        <f t="shared" si="104"/>
        <v>NO APLICA</v>
      </c>
      <c r="Q133" s="134">
        <f t="shared" si="109"/>
        <v>6.0000000000000001E-3</v>
      </c>
      <c r="R133" s="130">
        <f t="shared" si="105"/>
        <v>0</v>
      </c>
      <c r="S133" s="135">
        <f t="shared" si="106"/>
        <v>26800</v>
      </c>
      <c r="T133" s="136"/>
      <c r="U133" s="135">
        <f t="shared" si="107"/>
        <v>0</v>
      </c>
    </row>
    <row r="134" spans="2:21" ht="28.5" x14ac:dyDescent="0.2">
      <c r="B134" s="173" t="s">
        <v>245</v>
      </c>
      <c r="C134" s="174" t="s">
        <v>246</v>
      </c>
      <c r="D134" s="187"/>
      <c r="E134" s="184">
        <v>45910</v>
      </c>
      <c r="F134" s="18" t="s">
        <v>269</v>
      </c>
      <c r="G134" s="18">
        <v>71200</v>
      </c>
      <c r="H134" s="18">
        <v>59831.93</v>
      </c>
      <c r="I134" s="170" t="s">
        <v>27</v>
      </c>
      <c r="J134" s="171">
        <f>VLOOKUP(I134,retfuente4[#All],3,FALSE)</f>
        <v>498000</v>
      </c>
      <c r="K134" s="48" t="str">
        <f t="shared" si="102"/>
        <v>NO APLICA</v>
      </c>
      <c r="L134" s="134">
        <f>VLOOKUP(I134,retfuente4[#All],4,FALSE)</f>
        <v>2.5000000000000001E-2</v>
      </c>
      <c r="M134" s="130">
        <f t="shared" si="103"/>
        <v>0</v>
      </c>
      <c r="N134" s="132" t="s">
        <v>77</v>
      </c>
      <c r="O134" s="172">
        <f t="shared" si="108"/>
        <v>498000</v>
      </c>
      <c r="P134" s="133" t="str">
        <f t="shared" si="104"/>
        <v>NO APLICA</v>
      </c>
      <c r="Q134" s="134">
        <f t="shared" si="109"/>
        <v>6.0000000000000001E-3</v>
      </c>
      <c r="R134" s="130">
        <f t="shared" si="105"/>
        <v>0</v>
      </c>
      <c r="S134" s="135">
        <f t="shared" si="106"/>
        <v>71200</v>
      </c>
      <c r="T134" s="136"/>
      <c r="U134" s="135">
        <f t="shared" si="107"/>
        <v>0</v>
      </c>
    </row>
    <row r="135" spans="2:21" ht="28.5" x14ac:dyDescent="0.2">
      <c r="B135" s="173" t="s">
        <v>3</v>
      </c>
      <c r="C135" s="174" t="s">
        <v>197</v>
      </c>
      <c r="D135" s="187"/>
      <c r="E135" s="184">
        <v>45904</v>
      </c>
      <c r="F135" s="18" t="s">
        <v>270</v>
      </c>
      <c r="G135" s="18">
        <v>1697763.4</v>
      </c>
      <c r="H135" s="18">
        <v>1440890.76</v>
      </c>
      <c r="I135" s="170" t="s">
        <v>27</v>
      </c>
      <c r="J135" s="171">
        <f>VLOOKUP(I135,retfuente4[#All],3,FALSE)</f>
        <v>498000</v>
      </c>
      <c r="K135" s="48" t="str">
        <f t="shared" si="102"/>
        <v>APLICA</v>
      </c>
      <c r="L135" s="134">
        <f>VLOOKUP(I135,retfuente4[#All],4,FALSE)</f>
        <v>2.5000000000000001E-2</v>
      </c>
      <c r="M135" s="130">
        <f t="shared" si="103"/>
        <v>36022.269</v>
      </c>
      <c r="N135" s="132" t="s">
        <v>77</v>
      </c>
      <c r="O135" s="172">
        <f t="shared" ref="O135:O166" si="110">VLOOKUP(N135,RETEICAJULIO2025,3,FALSE)</f>
        <v>498000</v>
      </c>
      <c r="P135" s="133" t="str">
        <f t="shared" si="104"/>
        <v>APLICA</v>
      </c>
      <c r="Q135" s="134">
        <f t="shared" ref="Q135:Q166" si="111">VLOOKUP(N135,RETEICAJULIO2025,4,FALSE)</f>
        <v>6.0000000000000001E-3</v>
      </c>
      <c r="R135" s="130">
        <f t="shared" si="105"/>
        <v>8645.3445599999995</v>
      </c>
      <c r="S135" s="135">
        <f t="shared" si="106"/>
        <v>1653095.7864399999</v>
      </c>
      <c r="T135" s="136"/>
      <c r="U135" s="135">
        <f t="shared" si="107"/>
        <v>44667.613559999969</v>
      </c>
    </row>
    <row r="136" spans="2:21" ht="28.5" x14ac:dyDescent="0.2">
      <c r="B136" s="173" t="s">
        <v>3</v>
      </c>
      <c r="C136" s="174" t="s">
        <v>197</v>
      </c>
      <c r="D136" s="187"/>
      <c r="E136" s="184">
        <v>45908</v>
      </c>
      <c r="F136" s="18" t="s">
        <v>271</v>
      </c>
      <c r="G136" s="18">
        <v>1732800</v>
      </c>
      <c r="H136" s="18">
        <v>1456134.45</v>
      </c>
      <c r="I136" s="170" t="s">
        <v>27</v>
      </c>
      <c r="J136" s="171">
        <f>VLOOKUP(I136,retfuente4[#All],3,FALSE)</f>
        <v>498000</v>
      </c>
      <c r="K136" s="48" t="str">
        <f t="shared" si="102"/>
        <v>APLICA</v>
      </c>
      <c r="L136" s="134">
        <f>VLOOKUP(I136,retfuente4[#All],4,FALSE)</f>
        <v>2.5000000000000001E-2</v>
      </c>
      <c r="M136" s="130">
        <f t="shared" si="103"/>
        <v>36403.361250000002</v>
      </c>
      <c r="N136" s="132" t="s">
        <v>77</v>
      </c>
      <c r="O136" s="172">
        <f t="shared" si="110"/>
        <v>498000</v>
      </c>
      <c r="P136" s="133" t="str">
        <f t="shared" si="104"/>
        <v>APLICA</v>
      </c>
      <c r="Q136" s="134">
        <f t="shared" si="111"/>
        <v>6.0000000000000001E-3</v>
      </c>
      <c r="R136" s="130">
        <f t="shared" si="105"/>
        <v>8736.8066999999992</v>
      </c>
      <c r="S136" s="135">
        <f t="shared" si="106"/>
        <v>1687659.8320500001</v>
      </c>
      <c r="T136" s="136"/>
      <c r="U136" s="135">
        <f t="shared" si="107"/>
        <v>45140.167949999915</v>
      </c>
    </row>
    <row r="137" spans="2:21" ht="28.5" x14ac:dyDescent="0.2">
      <c r="B137" s="173" t="s">
        <v>3</v>
      </c>
      <c r="C137" s="174" t="s">
        <v>197</v>
      </c>
      <c r="D137" s="187"/>
      <c r="E137" s="184">
        <v>45915</v>
      </c>
      <c r="F137" s="18" t="s">
        <v>272</v>
      </c>
      <c r="G137" s="18">
        <v>947937</v>
      </c>
      <c r="H137" s="18">
        <v>800504.2</v>
      </c>
      <c r="I137" s="170" t="s">
        <v>27</v>
      </c>
      <c r="J137" s="171">
        <f>VLOOKUP(I137,retfuente4[#All],3,FALSE)</f>
        <v>498000</v>
      </c>
      <c r="K137" s="48" t="str">
        <f t="shared" si="102"/>
        <v>APLICA</v>
      </c>
      <c r="L137" s="134">
        <f>VLOOKUP(I137,retfuente4[#All],4,FALSE)</f>
        <v>2.5000000000000001E-2</v>
      </c>
      <c r="M137" s="130">
        <f t="shared" si="103"/>
        <v>20012.605</v>
      </c>
      <c r="N137" s="132" t="s">
        <v>77</v>
      </c>
      <c r="O137" s="172">
        <f t="shared" si="110"/>
        <v>498000</v>
      </c>
      <c r="P137" s="133" t="str">
        <f t="shared" si="104"/>
        <v>APLICA</v>
      </c>
      <c r="Q137" s="134">
        <f t="shared" si="111"/>
        <v>6.0000000000000001E-3</v>
      </c>
      <c r="R137" s="130">
        <f t="shared" si="105"/>
        <v>4803.0252</v>
      </c>
      <c r="S137" s="135">
        <f t="shared" si="106"/>
        <v>923121.36979999999</v>
      </c>
      <c r="T137" s="136"/>
      <c r="U137" s="135">
        <f t="shared" si="107"/>
        <v>24815.630200000014</v>
      </c>
    </row>
    <row r="138" spans="2:21" ht="28.5" x14ac:dyDescent="0.2">
      <c r="B138" s="173" t="s">
        <v>3</v>
      </c>
      <c r="C138" s="174" t="s">
        <v>197</v>
      </c>
      <c r="D138" s="187"/>
      <c r="E138" s="184">
        <v>45916</v>
      </c>
      <c r="F138" s="18" t="s">
        <v>273</v>
      </c>
      <c r="G138" s="18">
        <v>131891</v>
      </c>
      <c r="H138" s="18">
        <v>110832.77</v>
      </c>
      <c r="I138" s="170" t="s">
        <v>27</v>
      </c>
      <c r="J138" s="171">
        <f>VLOOKUP(I138,retfuente4[#All],3,FALSE)</f>
        <v>498000</v>
      </c>
      <c r="K138" s="48" t="str">
        <f t="shared" si="102"/>
        <v>NO APLICA</v>
      </c>
      <c r="L138" s="134">
        <f>VLOOKUP(I138,retfuente4[#All],4,FALSE)</f>
        <v>2.5000000000000001E-2</v>
      </c>
      <c r="M138" s="130">
        <f t="shared" si="103"/>
        <v>0</v>
      </c>
      <c r="N138" s="132" t="s">
        <v>77</v>
      </c>
      <c r="O138" s="172">
        <f t="shared" si="110"/>
        <v>498000</v>
      </c>
      <c r="P138" s="133" t="str">
        <f t="shared" si="104"/>
        <v>NO APLICA</v>
      </c>
      <c r="Q138" s="134">
        <f t="shared" si="111"/>
        <v>6.0000000000000001E-3</v>
      </c>
      <c r="R138" s="130">
        <f t="shared" si="105"/>
        <v>0</v>
      </c>
      <c r="S138" s="135">
        <f t="shared" si="106"/>
        <v>131891</v>
      </c>
      <c r="T138" s="136"/>
      <c r="U138" s="135">
        <f t="shared" si="107"/>
        <v>0</v>
      </c>
    </row>
    <row r="139" spans="2:21" ht="28.5" x14ac:dyDescent="0.2">
      <c r="B139" s="173" t="s">
        <v>3</v>
      </c>
      <c r="C139" s="174" t="s">
        <v>197</v>
      </c>
      <c r="D139" s="187"/>
      <c r="E139" s="184">
        <v>45917</v>
      </c>
      <c r="F139" s="18" t="s">
        <v>274</v>
      </c>
      <c r="G139" s="18">
        <v>317392</v>
      </c>
      <c r="H139" s="18">
        <v>266715.96999999997</v>
      </c>
      <c r="I139" s="170" t="s">
        <v>27</v>
      </c>
      <c r="J139" s="171">
        <f>VLOOKUP(I139,retfuente4[#All],3,FALSE)</f>
        <v>498000</v>
      </c>
      <c r="K139" s="48" t="str">
        <f t="shared" si="102"/>
        <v>NO APLICA</v>
      </c>
      <c r="L139" s="134">
        <f>VLOOKUP(I139,retfuente4[#All],4,FALSE)</f>
        <v>2.5000000000000001E-2</v>
      </c>
      <c r="M139" s="130">
        <f t="shared" si="103"/>
        <v>0</v>
      </c>
      <c r="N139" s="132" t="s">
        <v>77</v>
      </c>
      <c r="O139" s="172">
        <f t="shared" si="110"/>
        <v>498000</v>
      </c>
      <c r="P139" s="133" t="str">
        <f t="shared" si="104"/>
        <v>NO APLICA</v>
      </c>
      <c r="Q139" s="134">
        <f t="shared" si="111"/>
        <v>6.0000000000000001E-3</v>
      </c>
      <c r="R139" s="130">
        <f t="shared" si="105"/>
        <v>0</v>
      </c>
      <c r="S139" s="135">
        <f t="shared" si="106"/>
        <v>317392</v>
      </c>
      <c r="T139" s="136"/>
      <c r="U139" s="135">
        <f t="shared" si="107"/>
        <v>0</v>
      </c>
    </row>
    <row r="140" spans="2:21" ht="28.5" x14ac:dyDescent="0.2">
      <c r="B140" s="173" t="s">
        <v>3</v>
      </c>
      <c r="C140" s="174" t="s">
        <v>197</v>
      </c>
      <c r="D140" s="187"/>
      <c r="E140" s="184">
        <v>45922</v>
      </c>
      <c r="F140" s="18" t="s">
        <v>275</v>
      </c>
      <c r="G140" s="18">
        <v>285465</v>
      </c>
      <c r="H140" s="18">
        <v>239886.55</v>
      </c>
      <c r="I140" s="170" t="s">
        <v>27</v>
      </c>
      <c r="J140" s="171">
        <f>VLOOKUP(I140,retfuente4[#All],3,FALSE)</f>
        <v>498000</v>
      </c>
      <c r="K140" s="48" t="str">
        <f t="shared" si="102"/>
        <v>NO APLICA</v>
      </c>
      <c r="L140" s="134">
        <f>VLOOKUP(I140,retfuente4[#All],4,FALSE)</f>
        <v>2.5000000000000001E-2</v>
      </c>
      <c r="M140" s="130">
        <f t="shared" si="103"/>
        <v>0</v>
      </c>
      <c r="N140" s="132" t="s">
        <v>77</v>
      </c>
      <c r="O140" s="172">
        <f t="shared" si="110"/>
        <v>498000</v>
      </c>
      <c r="P140" s="133" t="str">
        <f t="shared" si="104"/>
        <v>NO APLICA</v>
      </c>
      <c r="Q140" s="134">
        <f t="shared" si="111"/>
        <v>6.0000000000000001E-3</v>
      </c>
      <c r="R140" s="130">
        <f t="shared" si="105"/>
        <v>0</v>
      </c>
      <c r="S140" s="135">
        <f t="shared" si="106"/>
        <v>285465</v>
      </c>
      <c r="T140" s="136"/>
      <c r="U140" s="135">
        <f t="shared" si="107"/>
        <v>0</v>
      </c>
    </row>
    <row r="141" spans="2:21" ht="28.5" x14ac:dyDescent="0.2">
      <c r="B141" s="173" t="s">
        <v>276</v>
      </c>
      <c r="C141" s="174" t="s">
        <v>277</v>
      </c>
      <c r="D141" s="187"/>
      <c r="E141" s="184">
        <v>45906</v>
      </c>
      <c r="F141" s="18" t="s">
        <v>278</v>
      </c>
      <c r="G141" s="18">
        <v>50000</v>
      </c>
      <c r="H141" s="18">
        <v>50000</v>
      </c>
      <c r="I141" s="170" t="s">
        <v>27</v>
      </c>
      <c r="J141" s="171">
        <f>VLOOKUP(I141,retfuente4[#All],3,FALSE)</f>
        <v>498000</v>
      </c>
      <c r="K141" s="48" t="str">
        <f t="shared" si="102"/>
        <v>NO APLICA</v>
      </c>
      <c r="L141" s="134">
        <f>VLOOKUP(I141,retfuente4[#All],4,FALSE)</f>
        <v>2.5000000000000001E-2</v>
      </c>
      <c r="M141" s="130">
        <f t="shared" si="103"/>
        <v>0</v>
      </c>
      <c r="N141" s="132" t="s">
        <v>77</v>
      </c>
      <c r="O141" s="172">
        <f t="shared" si="110"/>
        <v>498000</v>
      </c>
      <c r="P141" s="133" t="str">
        <f t="shared" si="104"/>
        <v>NO APLICA</v>
      </c>
      <c r="Q141" s="134">
        <f t="shared" si="111"/>
        <v>6.0000000000000001E-3</v>
      </c>
      <c r="R141" s="130">
        <f t="shared" si="105"/>
        <v>0</v>
      </c>
      <c r="S141" s="135">
        <f t="shared" si="106"/>
        <v>50000</v>
      </c>
      <c r="T141" s="136"/>
      <c r="U141" s="135">
        <f t="shared" si="107"/>
        <v>0</v>
      </c>
    </row>
    <row r="142" spans="2:21" ht="28.5" x14ac:dyDescent="0.2">
      <c r="B142" s="173" t="s">
        <v>279</v>
      </c>
      <c r="C142" s="174" t="s">
        <v>280</v>
      </c>
      <c r="D142" s="187"/>
      <c r="E142" s="184">
        <v>45902</v>
      </c>
      <c r="F142" s="18" t="s">
        <v>281</v>
      </c>
      <c r="G142" s="18">
        <v>998116</v>
      </c>
      <c r="H142" s="18">
        <v>838752.94</v>
      </c>
      <c r="I142" s="170" t="s">
        <v>27</v>
      </c>
      <c r="J142" s="171">
        <f>VLOOKUP(I142,retfuente4[#All],3,FALSE)</f>
        <v>498000</v>
      </c>
      <c r="K142" s="48" t="str">
        <f t="shared" si="102"/>
        <v>APLICA</v>
      </c>
      <c r="L142" s="134">
        <f>VLOOKUP(I142,retfuente4[#All],4,FALSE)</f>
        <v>2.5000000000000001E-2</v>
      </c>
      <c r="M142" s="130">
        <f t="shared" si="103"/>
        <v>20968.823499999999</v>
      </c>
      <c r="N142" s="132" t="s">
        <v>77</v>
      </c>
      <c r="O142" s="172">
        <f t="shared" si="110"/>
        <v>498000</v>
      </c>
      <c r="P142" s="133" t="str">
        <f t="shared" si="104"/>
        <v>APLICA</v>
      </c>
      <c r="Q142" s="134">
        <f t="shared" si="111"/>
        <v>6.0000000000000001E-3</v>
      </c>
      <c r="R142" s="130">
        <f t="shared" si="105"/>
        <v>5032.51764</v>
      </c>
      <c r="S142" s="135">
        <f t="shared" si="106"/>
        <v>972114.65885999997</v>
      </c>
      <c r="T142" s="136"/>
      <c r="U142" s="135">
        <f t="shared" si="107"/>
        <v>26001.341140000033</v>
      </c>
    </row>
    <row r="143" spans="2:21" ht="28.5" x14ac:dyDescent="0.2">
      <c r="B143" s="173" t="s">
        <v>282</v>
      </c>
      <c r="C143" s="174" t="s">
        <v>283</v>
      </c>
      <c r="D143" s="187"/>
      <c r="E143" s="184">
        <v>45912</v>
      </c>
      <c r="F143" s="18" t="s">
        <v>284</v>
      </c>
      <c r="G143" s="18">
        <v>8239970</v>
      </c>
      <c r="H143" s="18">
        <v>6924344.5499999998</v>
      </c>
      <c r="I143" s="170" t="s">
        <v>27</v>
      </c>
      <c r="J143" s="171">
        <f>VLOOKUP(I143,retfuente4[#All],3,FALSE)</f>
        <v>498000</v>
      </c>
      <c r="K143" s="48" t="str">
        <f t="shared" si="102"/>
        <v>APLICA</v>
      </c>
      <c r="L143" s="134">
        <f>VLOOKUP(I143,retfuente4[#All],4,FALSE)</f>
        <v>2.5000000000000001E-2</v>
      </c>
      <c r="M143" s="130">
        <f t="shared" si="103"/>
        <v>173108.61375000002</v>
      </c>
      <c r="N143" s="132" t="s">
        <v>77</v>
      </c>
      <c r="O143" s="172">
        <f t="shared" si="110"/>
        <v>498000</v>
      </c>
      <c r="P143" s="133" t="str">
        <f t="shared" si="104"/>
        <v>APLICA</v>
      </c>
      <c r="Q143" s="134">
        <f t="shared" si="111"/>
        <v>6.0000000000000001E-3</v>
      </c>
      <c r="R143" s="130">
        <f t="shared" si="105"/>
        <v>41546.067300000002</v>
      </c>
      <c r="S143" s="135">
        <f t="shared" si="106"/>
        <v>8025315.3189500002</v>
      </c>
      <c r="T143" s="136"/>
      <c r="U143" s="135">
        <f t="shared" si="107"/>
        <v>214654.68104999978</v>
      </c>
    </row>
    <row r="144" spans="2:21" ht="28.5" x14ac:dyDescent="0.2">
      <c r="B144" s="173" t="s">
        <v>207</v>
      </c>
      <c r="C144" s="174" t="s">
        <v>208</v>
      </c>
      <c r="D144" s="187"/>
      <c r="E144" s="184">
        <v>45901</v>
      </c>
      <c r="F144" s="18" t="s">
        <v>285</v>
      </c>
      <c r="G144" s="18">
        <v>127000</v>
      </c>
      <c r="H144" s="18">
        <v>106722.7</v>
      </c>
      <c r="I144" s="170" t="s">
        <v>27</v>
      </c>
      <c r="J144" s="171">
        <f>VLOOKUP(I144,retfuente4[#All],3,FALSE)</f>
        <v>498000</v>
      </c>
      <c r="K144" s="48" t="str">
        <f t="shared" si="102"/>
        <v>NO APLICA</v>
      </c>
      <c r="L144" s="134">
        <f>VLOOKUP(I144,retfuente4[#All],4,FALSE)</f>
        <v>2.5000000000000001E-2</v>
      </c>
      <c r="M144" s="130">
        <f t="shared" si="103"/>
        <v>0</v>
      </c>
      <c r="N144" s="132" t="s">
        <v>77</v>
      </c>
      <c r="O144" s="172">
        <f t="shared" si="110"/>
        <v>498000</v>
      </c>
      <c r="P144" s="133" t="str">
        <f t="shared" si="104"/>
        <v>NO APLICA</v>
      </c>
      <c r="Q144" s="134">
        <f t="shared" si="111"/>
        <v>6.0000000000000001E-3</v>
      </c>
      <c r="R144" s="130">
        <f t="shared" si="105"/>
        <v>0</v>
      </c>
      <c r="S144" s="135">
        <f t="shared" si="106"/>
        <v>127000</v>
      </c>
      <c r="T144" s="136"/>
      <c r="U144" s="135">
        <f t="shared" si="107"/>
        <v>0</v>
      </c>
    </row>
    <row r="145" spans="2:21" ht="28.5" x14ac:dyDescent="0.2">
      <c r="B145" s="173" t="s">
        <v>207</v>
      </c>
      <c r="C145" s="174" t="s">
        <v>208</v>
      </c>
      <c r="D145" s="187"/>
      <c r="E145" s="184">
        <v>45908</v>
      </c>
      <c r="F145" s="18" t="s">
        <v>286</v>
      </c>
      <c r="G145" s="18">
        <v>40000</v>
      </c>
      <c r="H145" s="18">
        <v>33613.449999999997</v>
      </c>
      <c r="I145" s="170" t="s">
        <v>27</v>
      </c>
      <c r="J145" s="171">
        <f>VLOOKUP(I145,retfuente4[#All],3,FALSE)</f>
        <v>498000</v>
      </c>
      <c r="K145" s="48" t="str">
        <f t="shared" si="102"/>
        <v>NO APLICA</v>
      </c>
      <c r="L145" s="134">
        <f>VLOOKUP(I145,retfuente4[#All],4,FALSE)</f>
        <v>2.5000000000000001E-2</v>
      </c>
      <c r="M145" s="130">
        <f t="shared" si="103"/>
        <v>0</v>
      </c>
      <c r="N145" s="132" t="s">
        <v>77</v>
      </c>
      <c r="O145" s="172">
        <f t="shared" si="110"/>
        <v>498000</v>
      </c>
      <c r="P145" s="133" t="str">
        <f t="shared" si="104"/>
        <v>NO APLICA</v>
      </c>
      <c r="Q145" s="134">
        <f t="shared" si="111"/>
        <v>6.0000000000000001E-3</v>
      </c>
      <c r="R145" s="130">
        <f t="shared" si="105"/>
        <v>0</v>
      </c>
      <c r="S145" s="135">
        <f t="shared" si="106"/>
        <v>40000</v>
      </c>
      <c r="T145" s="136"/>
      <c r="U145" s="135">
        <f t="shared" si="107"/>
        <v>0</v>
      </c>
    </row>
    <row r="146" spans="2:21" ht="28.5" x14ac:dyDescent="0.2">
      <c r="B146" s="173" t="s">
        <v>207</v>
      </c>
      <c r="C146" s="174" t="s">
        <v>208</v>
      </c>
      <c r="D146" s="187"/>
      <c r="E146" s="184">
        <v>45924</v>
      </c>
      <c r="F146" s="18" t="s">
        <v>287</v>
      </c>
      <c r="G146" s="18">
        <v>95900</v>
      </c>
      <c r="H146" s="18">
        <v>80588.240000000005</v>
      </c>
      <c r="I146" s="170" t="s">
        <v>27</v>
      </c>
      <c r="J146" s="171">
        <f>VLOOKUP(I146,retfuente4[#All],3,FALSE)</f>
        <v>498000</v>
      </c>
      <c r="K146" s="48" t="str">
        <f t="shared" si="102"/>
        <v>NO APLICA</v>
      </c>
      <c r="L146" s="134">
        <f>VLOOKUP(I146,retfuente4[#All],4,FALSE)</f>
        <v>2.5000000000000001E-2</v>
      </c>
      <c r="M146" s="130">
        <f t="shared" si="103"/>
        <v>0</v>
      </c>
      <c r="N146" s="132" t="s">
        <v>77</v>
      </c>
      <c r="O146" s="172">
        <f t="shared" si="110"/>
        <v>498000</v>
      </c>
      <c r="P146" s="133" t="str">
        <f t="shared" si="104"/>
        <v>NO APLICA</v>
      </c>
      <c r="Q146" s="134">
        <f t="shared" si="111"/>
        <v>6.0000000000000001E-3</v>
      </c>
      <c r="R146" s="130">
        <f t="shared" si="105"/>
        <v>0</v>
      </c>
      <c r="S146" s="135">
        <f t="shared" si="106"/>
        <v>95900</v>
      </c>
      <c r="T146" s="136"/>
      <c r="U146" s="135">
        <f t="shared" si="107"/>
        <v>0</v>
      </c>
    </row>
    <row r="147" spans="2:21" ht="28.5" x14ac:dyDescent="0.2">
      <c r="B147" s="173" t="s">
        <v>211</v>
      </c>
      <c r="C147" s="174" t="s">
        <v>212</v>
      </c>
      <c r="D147" s="187"/>
      <c r="E147" s="184">
        <v>45905</v>
      </c>
      <c r="F147" s="18" t="s">
        <v>288</v>
      </c>
      <c r="G147" s="18">
        <v>1791399.97</v>
      </c>
      <c r="H147" s="18">
        <v>1505378.13</v>
      </c>
      <c r="I147" s="170" t="s">
        <v>27</v>
      </c>
      <c r="J147" s="171">
        <f>VLOOKUP(I147,retfuente4[#All],3,FALSE)</f>
        <v>498000</v>
      </c>
      <c r="K147" s="48" t="str">
        <f t="shared" si="102"/>
        <v>APLICA</v>
      </c>
      <c r="L147" s="134">
        <f>VLOOKUP(I147,retfuente4[#All],4,FALSE)</f>
        <v>2.5000000000000001E-2</v>
      </c>
      <c r="M147" s="130">
        <f t="shared" si="103"/>
        <v>37634.453249999999</v>
      </c>
      <c r="N147" s="132" t="s">
        <v>77</v>
      </c>
      <c r="O147" s="172">
        <f t="shared" si="110"/>
        <v>498000</v>
      </c>
      <c r="P147" s="133" t="str">
        <f t="shared" si="104"/>
        <v>APLICA</v>
      </c>
      <c r="Q147" s="134">
        <f t="shared" si="111"/>
        <v>6.0000000000000001E-3</v>
      </c>
      <c r="R147" s="130">
        <f t="shared" si="105"/>
        <v>9032.2687800000003</v>
      </c>
      <c r="S147" s="135">
        <f t="shared" si="106"/>
        <v>1744733.2479699999</v>
      </c>
      <c r="T147" s="136"/>
      <c r="U147" s="135">
        <f t="shared" si="107"/>
        <v>46666.722030000063</v>
      </c>
    </row>
    <row r="148" spans="2:21" ht="28.5" x14ac:dyDescent="0.2">
      <c r="B148" s="173" t="s">
        <v>211</v>
      </c>
      <c r="C148" s="174" t="s">
        <v>212</v>
      </c>
      <c r="D148" s="187"/>
      <c r="E148" s="184">
        <v>45902</v>
      </c>
      <c r="F148" s="18" t="s">
        <v>289</v>
      </c>
      <c r="G148" s="18">
        <v>6398999.96</v>
      </c>
      <c r="H148" s="18">
        <v>5377310.9000000004</v>
      </c>
      <c r="I148" s="170" t="s">
        <v>27</v>
      </c>
      <c r="J148" s="171">
        <f>VLOOKUP(I148,retfuente4[#All],3,FALSE)</f>
        <v>498000</v>
      </c>
      <c r="K148" s="48" t="str">
        <f t="shared" si="102"/>
        <v>APLICA</v>
      </c>
      <c r="L148" s="134">
        <f>VLOOKUP(I148,retfuente4[#All],4,FALSE)</f>
        <v>2.5000000000000001E-2</v>
      </c>
      <c r="M148" s="130">
        <f t="shared" si="103"/>
        <v>134432.77250000002</v>
      </c>
      <c r="N148" s="132" t="s">
        <v>77</v>
      </c>
      <c r="O148" s="172">
        <f t="shared" si="110"/>
        <v>498000</v>
      </c>
      <c r="P148" s="133" t="str">
        <f t="shared" si="104"/>
        <v>APLICA</v>
      </c>
      <c r="Q148" s="134">
        <f t="shared" si="111"/>
        <v>6.0000000000000001E-3</v>
      </c>
      <c r="R148" s="130">
        <f t="shared" si="105"/>
        <v>32263.865400000002</v>
      </c>
      <c r="S148" s="135">
        <f t="shared" si="106"/>
        <v>6232303.3220999995</v>
      </c>
      <c r="T148" s="136"/>
      <c r="U148" s="135">
        <f t="shared" si="107"/>
        <v>166696.63790000044</v>
      </c>
    </row>
    <row r="149" spans="2:21" ht="28.5" x14ac:dyDescent="0.2">
      <c r="B149" s="173" t="s">
        <v>211</v>
      </c>
      <c r="C149" s="174" t="s">
        <v>212</v>
      </c>
      <c r="D149" s="187"/>
      <c r="E149" s="184">
        <v>45903</v>
      </c>
      <c r="F149" s="18" t="s">
        <v>290</v>
      </c>
      <c r="G149" s="18">
        <v>30999.98</v>
      </c>
      <c r="H149" s="18">
        <v>26050.41</v>
      </c>
      <c r="I149" s="170" t="s">
        <v>27</v>
      </c>
      <c r="J149" s="171">
        <f>VLOOKUP(I149,retfuente4[#All],3,FALSE)</f>
        <v>498000</v>
      </c>
      <c r="K149" s="48" t="str">
        <f t="shared" si="102"/>
        <v>NO APLICA</v>
      </c>
      <c r="L149" s="134">
        <f>VLOOKUP(I149,retfuente4[#All],4,FALSE)</f>
        <v>2.5000000000000001E-2</v>
      </c>
      <c r="M149" s="130">
        <f t="shared" si="103"/>
        <v>0</v>
      </c>
      <c r="N149" s="132" t="s">
        <v>77</v>
      </c>
      <c r="O149" s="172">
        <f t="shared" si="110"/>
        <v>498000</v>
      </c>
      <c r="P149" s="133" t="str">
        <f t="shared" si="104"/>
        <v>NO APLICA</v>
      </c>
      <c r="Q149" s="134">
        <f t="shared" si="111"/>
        <v>6.0000000000000001E-3</v>
      </c>
      <c r="R149" s="130">
        <f t="shared" si="105"/>
        <v>0</v>
      </c>
      <c r="S149" s="135">
        <f t="shared" si="106"/>
        <v>30999.98</v>
      </c>
      <c r="T149" s="136"/>
      <c r="U149" s="135">
        <f t="shared" si="107"/>
        <v>0</v>
      </c>
    </row>
    <row r="150" spans="2:21" ht="28.5" x14ac:dyDescent="0.2">
      <c r="B150" s="173" t="s">
        <v>211</v>
      </c>
      <c r="C150" s="174" t="s">
        <v>212</v>
      </c>
      <c r="D150" s="187"/>
      <c r="E150" s="184">
        <v>45903</v>
      </c>
      <c r="F150" s="18" t="s">
        <v>291</v>
      </c>
      <c r="G150" s="18">
        <v>33000</v>
      </c>
      <c r="H150" s="18">
        <v>27731.09</v>
      </c>
      <c r="I150" s="170" t="s">
        <v>27</v>
      </c>
      <c r="J150" s="171">
        <f>VLOOKUP(I150,retfuente4[#All],3,FALSE)</f>
        <v>498000</v>
      </c>
      <c r="K150" s="48" t="str">
        <f t="shared" si="102"/>
        <v>NO APLICA</v>
      </c>
      <c r="L150" s="134">
        <f>VLOOKUP(I150,retfuente4[#All],4,FALSE)</f>
        <v>2.5000000000000001E-2</v>
      </c>
      <c r="M150" s="130">
        <f t="shared" si="103"/>
        <v>0</v>
      </c>
      <c r="N150" s="132" t="s">
        <v>77</v>
      </c>
      <c r="O150" s="172">
        <f t="shared" si="110"/>
        <v>498000</v>
      </c>
      <c r="P150" s="133" t="str">
        <f t="shared" si="104"/>
        <v>NO APLICA</v>
      </c>
      <c r="Q150" s="134">
        <f t="shared" si="111"/>
        <v>6.0000000000000001E-3</v>
      </c>
      <c r="R150" s="130">
        <f t="shared" si="105"/>
        <v>0</v>
      </c>
      <c r="S150" s="135">
        <f t="shared" si="106"/>
        <v>33000</v>
      </c>
      <c r="T150" s="136"/>
      <c r="U150" s="135">
        <f t="shared" si="107"/>
        <v>0</v>
      </c>
    </row>
    <row r="151" spans="2:21" ht="28.5" x14ac:dyDescent="0.2">
      <c r="B151" s="173" t="s">
        <v>211</v>
      </c>
      <c r="C151" s="174" t="s">
        <v>212</v>
      </c>
      <c r="D151" s="187"/>
      <c r="E151" s="184">
        <v>45905</v>
      </c>
      <c r="F151" s="18" t="s">
        <v>292</v>
      </c>
      <c r="G151" s="18">
        <v>18000</v>
      </c>
      <c r="H151" s="18">
        <v>15126.05</v>
      </c>
      <c r="I151" s="170" t="s">
        <v>27</v>
      </c>
      <c r="J151" s="171">
        <f>VLOOKUP(I151,retfuente4[#All],3,FALSE)</f>
        <v>498000</v>
      </c>
      <c r="K151" s="48" t="str">
        <f t="shared" si="102"/>
        <v>NO APLICA</v>
      </c>
      <c r="L151" s="134">
        <f>VLOOKUP(I151,retfuente4[#All],4,FALSE)</f>
        <v>2.5000000000000001E-2</v>
      </c>
      <c r="M151" s="130">
        <f t="shared" si="103"/>
        <v>0</v>
      </c>
      <c r="N151" s="132" t="s">
        <v>77</v>
      </c>
      <c r="O151" s="172">
        <f t="shared" si="110"/>
        <v>498000</v>
      </c>
      <c r="P151" s="133" t="str">
        <f t="shared" si="104"/>
        <v>NO APLICA</v>
      </c>
      <c r="Q151" s="134">
        <f t="shared" si="111"/>
        <v>6.0000000000000001E-3</v>
      </c>
      <c r="R151" s="130">
        <f t="shared" si="105"/>
        <v>0</v>
      </c>
      <c r="S151" s="135">
        <f t="shared" si="106"/>
        <v>18000</v>
      </c>
      <c r="T151" s="136"/>
      <c r="U151" s="135">
        <f t="shared" si="107"/>
        <v>0</v>
      </c>
    </row>
    <row r="152" spans="2:21" ht="28.5" x14ac:dyDescent="0.2">
      <c r="B152" s="173" t="s">
        <v>211</v>
      </c>
      <c r="C152" s="174" t="s">
        <v>212</v>
      </c>
      <c r="D152" s="187"/>
      <c r="E152" s="184">
        <v>45905</v>
      </c>
      <c r="F152" s="18" t="s">
        <v>293</v>
      </c>
      <c r="G152" s="18">
        <v>42000</v>
      </c>
      <c r="H152" s="18">
        <v>35294.120000000003</v>
      </c>
      <c r="I152" s="170" t="s">
        <v>27</v>
      </c>
      <c r="J152" s="171">
        <f>VLOOKUP(I152,retfuente4[#All],3,FALSE)</f>
        <v>498000</v>
      </c>
      <c r="K152" s="48" t="str">
        <f t="shared" si="102"/>
        <v>NO APLICA</v>
      </c>
      <c r="L152" s="134">
        <f>VLOOKUP(I152,retfuente4[#All],4,FALSE)</f>
        <v>2.5000000000000001E-2</v>
      </c>
      <c r="M152" s="130">
        <f t="shared" si="103"/>
        <v>0</v>
      </c>
      <c r="N152" s="132" t="s">
        <v>77</v>
      </c>
      <c r="O152" s="172">
        <f t="shared" si="110"/>
        <v>498000</v>
      </c>
      <c r="P152" s="133" t="str">
        <f t="shared" si="104"/>
        <v>NO APLICA</v>
      </c>
      <c r="Q152" s="134">
        <f t="shared" si="111"/>
        <v>6.0000000000000001E-3</v>
      </c>
      <c r="R152" s="130">
        <f t="shared" si="105"/>
        <v>0</v>
      </c>
      <c r="S152" s="135">
        <f t="shared" si="106"/>
        <v>42000</v>
      </c>
      <c r="T152" s="136"/>
      <c r="U152" s="135">
        <f t="shared" si="107"/>
        <v>0</v>
      </c>
    </row>
    <row r="153" spans="2:21" ht="28.5" x14ac:dyDescent="0.2">
      <c r="B153" s="173" t="s">
        <v>211</v>
      </c>
      <c r="C153" s="174" t="s">
        <v>212</v>
      </c>
      <c r="D153" s="187"/>
      <c r="E153" s="184">
        <v>45909</v>
      </c>
      <c r="F153" s="18" t="s">
        <v>294</v>
      </c>
      <c r="G153" s="18">
        <v>34000</v>
      </c>
      <c r="H153" s="18">
        <v>28571.42</v>
      </c>
      <c r="I153" s="170" t="s">
        <v>27</v>
      </c>
      <c r="J153" s="171">
        <f>VLOOKUP(I153,retfuente4[#All],3,FALSE)</f>
        <v>498000</v>
      </c>
      <c r="K153" s="48" t="str">
        <f t="shared" si="102"/>
        <v>NO APLICA</v>
      </c>
      <c r="L153" s="134">
        <f>VLOOKUP(I153,retfuente4[#All],4,FALSE)</f>
        <v>2.5000000000000001E-2</v>
      </c>
      <c r="M153" s="130">
        <f t="shared" si="103"/>
        <v>0</v>
      </c>
      <c r="N153" s="132" t="s">
        <v>77</v>
      </c>
      <c r="O153" s="172">
        <f t="shared" si="110"/>
        <v>498000</v>
      </c>
      <c r="P153" s="133" t="str">
        <f t="shared" si="104"/>
        <v>NO APLICA</v>
      </c>
      <c r="Q153" s="134">
        <f t="shared" si="111"/>
        <v>6.0000000000000001E-3</v>
      </c>
      <c r="R153" s="130">
        <f t="shared" si="105"/>
        <v>0</v>
      </c>
      <c r="S153" s="135">
        <f t="shared" si="106"/>
        <v>34000</v>
      </c>
      <c r="T153" s="136"/>
      <c r="U153" s="135">
        <f t="shared" si="107"/>
        <v>0</v>
      </c>
    </row>
    <row r="154" spans="2:21" ht="28.5" x14ac:dyDescent="0.2">
      <c r="B154" s="173" t="s">
        <v>211</v>
      </c>
      <c r="C154" s="174" t="s">
        <v>212</v>
      </c>
      <c r="D154" s="187"/>
      <c r="E154" s="184">
        <v>45912</v>
      </c>
      <c r="F154" s="18" t="s">
        <v>295</v>
      </c>
      <c r="G154" s="18">
        <v>15000</v>
      </c>
      <c r="H154" s="18">
        <v>12605.04</v>
      </c>
      <c r="I154" s="170" t="s">
        <v>27</v>
      </c>
      <c r="J154" s="171">
        <f>VLOOKUP(I154,retfuente4[#All],3,FALSE)</f>
        <v>498000</v>
      </c>
      <c r="K154" s="48" t="str">
        <f t="shared" si="102"/>
        <v>NO APLICA</v>
      </c>
      <c r="L154" s="134">
        <f>VLOOKUP(I154,retfuente4[#All],4,FALSE)</f>
        <v>2.5000000000000001E-2</v>
      </c>
      <c r="M154" s="130">
        <f t="shared" si="103"/>
        <v>0</v>
      </c>
      <c r="N154" s="132" t="s">
        <v>77</v>
      </c>
      <c r="O154" s="172">
        <f t="shared" si="110"/>
        <v>498000</v>
      </c>
      <c r="P154" s="133" t="str">
        <f t="shared" si="104"/>
        <v>NO APLICA</v>
      </c>
      <c r="Q154" s="134">
        <f t="shared" si="111"/>
        <v>6.0000000000000001E-3</v>
      </c>
      <c r="R154" s="130">
        <f t="shared" si="105"/>
        <v>0</v>
      </c>
      <c r="S154" s="135">
        <f t="shared" si="106"/>
        <v>15000</v>
      </c>
      <c r="T154" s="136"/>
      <c r="U154" s="135">
        <f t="shared" si="107"/>
        <v>0</v>
      </c>
    </row>
    <row r="155" spans="2:21" ht="28.5" x14ac:dyDescent="0.2">
      <c r="B155" s="173" t="s">
        <v>211</v>
      </c>
      <c r="C155" s="174" t="s">
        <v>212</v>
      </c>
      <c r="D155" s="187"/>
      <c r="E155" s="184">
        <v>45916</v>
      </c>
      <c r="F155" s="18" t="s">
        <v>296</v>
      </c>
      <c r="G155" s="18">
        <v>877000.01</v>
      </c>
      <c r="H155" s="18">
        <v>736974.8</v>
      </c>
      <c r="I155" s="170" t="s">
        <v>27</v>
      </c>
      <c r="J155" s="171">
        <f>VLOOKUP(I155,retfuente4[#All],3,FALSE)</f>
        <v>498000</v>
      </c>
      <c r="K155" s="48" t="str">
        <f t="shared" si="102"/>
        <v>APLICA</v>
      </c>
      <c r="L155" s="134">
        <f>VLOOKUP(I155,retfuente4[#All],4,FALSE)</f>
        <v>2.5000000000000001E-2</v>
      </c>
      <c r="M155" s="130">
        <f t="shared" si="103"/>
        <v>18424.370000000003</v>
      </c>
      <c r="N155" s="132" t="s">
        <v>77</v>
      </c>
      <c r="O155" s="172">
        <f t="shared" si="110"/>
        <v>498000</v>
      </c>
      <c r="P155" s="133" t="str">
        <f t="shared" si="104"/>
        <v>APLICA</v>
      </c>
      <c r="Q155" s="134">
        <f t="shared" si="111"/>
        <v>6.0000000000000001E-3</v>
      </c>
      <c r="R155" s="130">
        <f t="shared" si="105"/>
        <v>4421.8488000000007</v>
      </c>
      <c r="S155" s="135">
        <f t="shared" si="106"/>
        <v>854153.79119999998</v>
      </c>
      <c r="T155" s="136"/>
      <c r="U155" s="135">
        <f t="shared" si="107"/>
        <v>22846.218800000031</v>
      </c>
    </row>
    <row r="156" spans="2:21" ht="28.5" x14ac:dyDescent="0.2">
      <c r="B156" s="173" t="s">
        <v>211</v>
      </c>
      <c r="C156" s="174" t="s">
        <v>212</v>
      </c>
      <c r="D156" s="187"/>
      <c r="E156" s="184">
        <v>45918</v>
      </c>
      <c r="F156" s="18" t="s">
        <v>297</v>
      </c>
      <c r="G156" s="18">
        <v>44000</v>
      </c>
      <c r="H156" s="18">
        <v>36974.79</v>
      </c>
      <c r="I156" s="170" t="s">
        <v>27</v>
      </c>
      <c r="J156" s="171">
        <f>VLOOKUP(I156,retfuente4[#All],3,FALSE)</f>
        <v>498000</v>
      </c>
      <c r="K156" s="48" t="str">
        <f t="shared" si="102"/>
        <v>NO APLICA</v>
      </c>
      <c r="L156" s="134">
        <f>VLOOKUP(I156,retfuente4[#All],4,FALSE)</f>
        <v>2.5000000000000001E-2</v>
      </c>
      <c r="M156" s="130">
        <f t="shared" si="103"/>
        <v>0</v>
      </c>
      <c r="N156" s="132" t="s">
        <v>77</v>
      </c>
      <c r="O156" s="172">
        <f t="shared" si="110"/>
        <v>498000</v>
      </c>
      <c r="P156" s="133" t="str">
        <f t="shared" si="104"/>
        <v>NO APLICA</v>
      </c>
      <c r="Q156" s="134">
        <f t="shared" si="111"/>
        <v>6.0000000000000001E-3</v>
      </c>
      <c r="R156" s="130">
        <f t="shared" si="105"/>
        <v>0</v>
      </c>
      <c r="S156" s="135">
        <f t="shared" si="106"/>
        <v>44000</v>
      </c>
      <c r="T156" s="136"/>
      <c r="U156" s="135">
        <f t="shared" si="107"/>
        <v>0</v>
      </c>
    </row>
    <row r="157" spans="2:21" ht="28.5" x14ac:dyDescent="0.2">
      <c r="B157" s="173" t="s">
        <v>211</v>
      </c>
      <c r="C157" s="174" t="s">
        <v>212</v>
      </c>
      <c r="D157" s="187"/>
      <c r="E157" s="184">
        <v>45923</v>
      </c>
      <c r="F157" s="18" t="s">
        <v>298</v>
      </c>
      <c r="G157" s="18">
        <v>3799999.99</v>
      </c>
      <c r="H157" s="18">
        <v>3193277.3</v>
      </c>
      <c r="I157" s="170" t="s">
        <v>27</v>
      </c>
      <c r="J157" s="171">
        <f>VLOOKUP(I157,retfuente4[#All],3,FALSE)</f>
        <v>498000</v>
      </c>
      <c r="K157" s="48" t="str">
        <f t="shared" si="102"/>
        <v>APLICA</v>
      </c>
      <c r="L157" s="134">
        <f>VLOOKUP(I157,retfuente4[#All],4,FALSE)</f>
        <v>2.5000000000000001E-2</v>
      </c>
      <c r="M157" s="130">
        <f t="shared" si="103"/>
        <v>79831.932499999995</v>
      </c>
      <c r="N157" s="132" t="s">
        <v>77</v>
      </c>
      <c r="O157" s="172">
        <f t="shared" si="110"/>
        <v>498000</v>
      </c>
      <c r="P157" s="133" t="str">
        <f t="shared" si="104"/>
        <v>APLICA</v>
      </c>
      <c r="Q157" s="134">
        <f t="shared" si="111"/>
        <v>6.0000000000000001E-3</v>
      </c>
      <c r="R157" s="130">
        <f t="shared" si="105"/>
        <v>19159.663799999998</v>
      </c>
      <c r="S157" s="135">
        <f t="shared" si="106"/>
        <v>3701008.3937000004</v>
      </c>
      <c r="T157" s="136"/>
      <c r="U157" s="135">
        <f t="shared" si="107"/>
        <v>98991.596299999859</v>
      </c>
    </row>
    <row r="158" spans="2:21" ht="28.5" x14ac:dyDescent="0.2">
      <c r="B158" s="173" t="s">
        <v>211</v>
      </c>
      <c r="C158" s="174" t="s">
        <v>212</v>
      </c>
      <c r="D158" s="187"/>
      <c r="E158" s="184">
        <v>45923</v>
      </c>
      <c r="F158" s="18" t="s">
        <v>299</v>
      </c>
      <c r="G158" s="18">
        <v>85000.01</v>
      </c>
      <c r="H158" s="18">
        <v>71428.58</v>
      </c>
      <c r="I158" s="170" t="s">
        <v>27</v>
      </c>
      <c r="J158" s="171">
        <f>VLOOKUP(I158,retfuente4[#All],3,FALSE)</f>
        <v>498000</v>
      </c>
      <c r="K158" s="48" t="str">
        <f t="shared" si="102"/>
        <v>NO APLICA</v>
      </c>
      <c r="L158" s="134">
        <f>VLOOKUP(I158,retfuente4[#All],4,FALSE)</f>
        <v>2.5000000000000001E-2</v>
      </c>
      <c r="M158" s="130">
        <f t="shared" si="103"/>
        <v>0</v>
      </c>
      <c r="N158" s="132" t="s">
        <v>77</v>
      </c>
      <c r="O158" s="172">
        <f t="shared" si="110"/>
        <v>498000</v>
      </c>
      <c r="P158" s="133" t="str">
        <f t="shared" si="104"/>
        <v>NO APLICA</v>
      </c>
      <c r="Q158" s="134">
        <f t="shared" si="111"/>
        <v>6.0000000000000001E-3</v>
      </c>
      <c r="R158" s="130">
        <f t="shared" si="105"/>
        <v>0</v>
      </c>
      <c r="S158" s="135">
        <f t="shared" si="106"/>
        <v>85000.01</v>
      </c>
      <c r="T158" s="136"/>
      <c r="U158" s="135">
        <f t="shared" si="107"/>
        <v>0</v>
      </c>
    </row>
    <row r="159" spans="2:21" ht="28.5" x14ac:dyDescent="0.2">
      <c r="B159" s="173" t="s">
        <v>211</v>
      </c>
      <c r="C159" s="174" t="s">
        <v>212</v>
      </c>
      <c r="D159" s="187"/>
      <c r="E159" s="184">
        <v>45923</v>
      </c>
      <c r="F159" s="18" t="s">
        <v>300</v>
      </c>
      <c r="G159" s="18">
        <v>1897400.02</v>
      </c>
      <c r="H159" s="18">
        <v>1594453.8</v>
      </c>
      <c r="I159" s="170" t="s">
        <v>27</v>
      </c>
      <c r="J159" s="171">
        <f>VLOOKUP(I159,retfuente4[#All],3,FALSE)</f>
        <v>498000</v>
      </c>
      <c r="K159" s="48" t="str">
        <f t="shared" si="102"/>
        <v>APLICA</v>
      </c>
      <c r="L159" s="134">
        <f>VLOOKUP(I159,retfuente4[#All],4,FALSE)</f>
        <v>2.5000000000000001E-2</v>
      </c>
      <c r="M159" s="130">
        <f t="shared" si="103"/>
        <v>39861.345000000001</v>
      </c>
      <c r="N159" s="132" t="s">
        <v>77</v>
      </c>
      <c r="O159" s="172">
        <f t="shared" si="110"/>
        <v>498000</v>
      </c>
      <c r="P159" s="133" t="str">
        <f t="shared" si="104"/>
        <v>APLICA</v>
      </c>
      <c r="Q159" s="134">
        <f t="shared" si="111"/>
        <v>6.0000000000000001E-3</v>
      </c>
      <c r="R159" s="130">
        <f t="shared" si="105"/>
        <v>9566.7228000000014</v>
      </c>
      <c r="S159" s="135">
        <f t="shared" si="106"/>
        <v>1847971.9521999999</v>
      </c>
      <c r="T159" s="136"/>
      <c r="U159" s="135">
        <f t="shared" si="107"/>
        <v>49428.067800000077</v>
      </c>
    </row>
    <row r="160" spans="2:21" ht="28.5" x14ac:dyDescent="0.2">
      <c r="B160" s="173" t="s">
        <v>211</v>
      </c>
      <c r="C160" s="174" t="s">
        <v>212</v>
      </c>
      <c r="D160" s="187"/>
      <c r="E160" s="184">
        <v>45923</v>
      </c>
      <c r="F160" s="18" t="s">
        <v>301</v>
      </c>
      <c r="G160" s="18">
        <v>1016000.02</v>
      </c>
      <c r="H160" s="18">
        <v>853781.53</v>
      </c>
      <c r="I160" s="170" t="s">
        <v>27</v>
      </c>
      <c r="J160" s="171">
        <f>VLOOKUP(I160,retfuente4[#All],3,FALSE)</f>
        <v>498000</v>
      </c>
      <c r="K160" s="48" t="str">
        <f t="shared" si="102"/>
        <v>APLICA</v>
      </c>
      <c r="L160" s="134">
        <f>VLOOKUP(I160,retfuente4[#All],4,FALSE)</f>
        <v>2.5000000000000001E-2</v>
      </c>
      <c r="M160" s="130">
        <f t="shared" si="103"/>
        <v>21344.538250000001</v>
      </c>
      <c r="N160" s="132" t="s">
        <v>77</v>
      </c>
      <c r="O160" s="172">
        <f t="shared" si="110"/>
        <v>498000</v>
      </c>
      <c r="P160" s="133" t="str">
        <f t="shared" si="104"/>
        <v>APLICA</v>
      </c>
      <c r="Q160" s="134">
        <f t="shared" si="111"/>
        <v>6.0000000000000001E-3</v>
      </c>
      <c r="R160" s="130">
        <f t="shared" si="105"/>
        <v>5122.6891800000003</v>
      </c>
      <c r="S160" s="135">
        <f t="shared" si="106"/>
        <v>989532.79257000005</v>
      </c>
      <c r="T160" s="136"/>
      <c r="U160" s="135">
        <f t="shared" si="107"/>
        <v>26467.22742999997</v>
      </c>
    </row>
    <row r="161" spans="2:21" ht="28.5" x14ac:dyDescent="0.2">
      <c r="B161" s="173" t="s">
        <v>211</v>
      </c>
      <c r="C161" s="174" t="s">
        <v>212</v>
      </c>
      <c r="D161" s="187"/>
      <c r="E161" s="184">
        <v>45923</v>
      </c>
      <c r="F161" s="18" t="s">
        <v>302</v>
      </c>
      <c r="G161" s="18">
        <v>680000.01</v>
      </c>
      <c r="H161" s="18">
        <v>571428.57999999996</v>
      </c>
      <c r="I161" s="170" t="s">
        <v>27</v>
      </c>
      <c r="J161" s="171">
        <f>VLOOKUP(I161,retfuente4[#All],3,FALSE)</f>
        <v>498000</v>
      </c>
      <c r="K161" s="48" t="str">
        <f t="shared" si="102"/>
        <v>APLICA</v>
      </c>
      <c r="L161" s="134">
        <f>VLOOKUP(I161,retfuente4[#All],4,FALSE)</f>
        <v>2.5000000000000001E-2</v>
      </c>
      <c r="M161" s="130">
        <f t="shared" si="103"/>
        <v>14285.7145</v>
      </c>
      <c r="N161" s="132" t="s">
        <v>77</v>
      </c>
      <c r="O161" s="172">
        <f t="shared" si="110"/>
        <v>498000</v>
      </c>
      <c r="P161" s="133" t="str">
        <f t="shared" si="104"/>
        <v>APLICA</v>
      </c>
      <c r="Q161" s="134">
        <f t="shared" si="111"/>
        <v>6.0000000000000001E-3</v>
      </c>
      <c r="R161" s="130">
        <f t="shared" si="105"/>
        <v>3428.5714799999996</v>
      </c>
      <c r="S161" s="135">
        <f t="shared" si="106"/>
        <v>662285.72401999997</v>
      </c>
      <c r="T161" s="136"/>
      <c r="U161" s="135">
        <f t="shared" si="107"/>
        <v>17714.285980000044</v>
      </c>
    </row>
    <row r="162" spans="2:21" ht="28.5" x14ac:dyDescent="0.2">
      <c r="B162" s="173" t="s">
        <v>211</v>
      </c>
      <c r="C162" s="174" t="s">
        <v>212</v>
      </c>
      <c r="D162" s="187"/>
      <c r="E162" s="184">
        <v>45925</v>
      </c>
      <c r="F162" s="18" t="s">
        <v>303</v>
      </c>
      <c r="G162" s="18">
        <v>174000</v>
      </c>
      <c r="H162" s="18">
        <v>146218.48000000001</v>
      </c>
      <c r="I162" s="170" t="s">
        <v>27</v>
      </c>
      <c r="J162" s="171">
        <f>VLOOKUP(I162,retfuente4[#All],3,FALSE)</f>
        <v>498000</v>
      </c>
      <c r="K162" s="48" t="str">
        <f t="shared" si="102"/>
        <v>NO APLICA</v>
      </c>
      <c r="L162" s="134">
        <f>VLOOKUP(I162,retfuente4[#All],4,FALSE)</f>
        <v>2.5000000000000001E-2</v>
      </c>
      <c r="M162" s="130">
        <f t="shared" si="103"/>
        <v>0</v>
      </c>
      <c r="N162" s="132" t="s">
        <v>77</v>
      </c>
      <c r="O162" s="172">
        <f t="shared" si="110"/>
        <v>498000</v>
      </c>
      <c r="P162" s="133" t="str">
        <f t="shared" si="104"/>
        <v>NO APLICA</v>
      </c>
      <c r="Q162" s="134">
        <f t="shared" si="111"/>
        <v>6.0000000000000001E-3</v>
      </c>
      <c r="R162" s="130">
        <f t="shared" si="105"/>
        <v>0</v>
      </c>
      <c r="S162" s="135">
        <f t="shared" si="106"/>
        <v>174000</v>
      </c>
      <c r="T162" s="136"/>
      <c r="U162" s="135">
        <f t="shared" si="107"/>
        <v>0</v>
      </c>
    </row>
    <row r="163" spans="2:21" ht="28.5" x14ac:dyDescent="0.2">
      <c r="B163" s="173" t="s">
        <v>211</v>
      </c>
      <c r="C163" s="174" t="s">
        <v>212</v>
      </c>
      <c r="D163" s="187"/>
      <c r="E163" s="184">
        <v>45926</v>
      </c>
      <c r="F163" s="18" t="s">
        <v>304</v>
      </c>
      <c r="G163" s="18">
        <v>26000.01</v>
      </c>
      <c r="H163" s="18">
        <v>21848.74</v>
      </c>
      <c r="I163" s="170" t="s">
        <v>27</v>
      </c>
      <c r="J163" s="171">
        <f>VLOOKUP(I163,retfuente4[#All],3,FALSE)</f>
        <v>498000</v>
      </c>
      <c r="K163" s="48" t="str">
        <f t="shared" si="102"/>
        <v>NO APLICA</v>
      </c>
      <c r="L163" s="134">
        <f>VLOOKUP(I163,retfuente4[#All],4,FALSE)</f>
        <v>2.5000000000000001E-2</v>
      </c>
      <c r="M163" s="130">
        <f t="shared" si="103"/>
        <v>0</v>
      </c>
      <c r="N163" s="132" t="s">
        <v>77</v>
      </c>
      <c r="O163" s="172">
        <f t="shared" si="110"/>
        <v>498000</v>
      </c>
      <c r="P163" s="133" t="str">
        <f t="shared" si="104"/>
        <v>NO APLICA</v>
      </c>
      <c r="Q163" s="134">
        <f t="shared" si="111"/>
        <v>6.0000000000000001E-3</v>
      </c>
      <c r="R163" s="130">
        <f t="shared" si="105"/>
        <v>0</v>
      </c>
      <c r="S163" s="135">
        <f t="shared" si="106"/>
        <v>26000.01</v>
      </c>
      <c r="T163" s="136"/>
      <c r="U163" s="135">
        <f t="shared" si="107"/>
        <v>0</v>
      </c>
    </row>
    <row r="164" spans="2:21" ht="28.5" x14ac:dyDescent="0.2">
      <c r="B164" s="173" t="s">
        <v>184</v>
      </c>
      <c r="C164" s="174" t="s">
        <v>185</v>
      </c>
      <c r="D164" s="187"/>
      <c r="E164" s="184">
        <v>45910</v>
      </c>
      <c r="F164" s="18" t="s">
        <v>305</v>
      </c>
      <c r="G164" s="18">
        <v>38000</v>
      </c>
      <c r="H164" s="18">
        <v>31932.77</v>
      </c>
      <c r="I164" s="170" t="s">
        <v>27</v>
      </c>
      <c r="J164" s="171">
        <f>VLOOKUP(I164,retfuente4[#All],3,FALSE)</f>
        <v>498000</v>
      </c>
      <c r="K164" s="48" t="str">
        <f t="shared" si="102"/>
        <v>NO APLICA</v>
      </c>
      <c r="L164" s="134">
        <f>VLOOKUP(I164,retfuente4[#All],4,FALSE)</f>
        <v>2.5000000000000001E-2</v>
      </c>
      <c r="M164" s="130">
        <f t="shared" si="103"/>
        <v>0</v>
      </c>
      <c r="N164" s="132" t="s">
        <v>77</v>
      </c>
      <c r="O164" s="172">
        <f t="shared" si="110"/>
        <v>498000</v>
      </c>
      <c r="P164" s="133" t="str">
        <f t="shared" si="104"/>
        <v>NO APLICA</v>
      </c>
      <c r="Q164" s="134">
        <f t="shared" si="111"/>
        <v>6.0000000000000001E-3</v>
      </c>
      <c r="R164" s="130">
        <f t="shared" si="105"/>
        <v>0</v>
      </c>
      <c r="S164" s="135">
        <f t="shared" si="106"/>
        <v>38000</v>
      </c>
      <c r="T164" s="136"/>
      <c r="U164" s="135">
        <f t="shared" si="107"/>
        <v>0</v>
      </c>
    </row>
    <row r="165" spans="2:21" ht="28.5" x14ac:dyDescent="0.2">
      <c r="B165" s="173" t="s">
        <v>191</v>
      </c>
      <c r="C165" s="174" t="s">
        <v>192</v>
      </c>
      <c r="D165" s="187"/>
      <c r="E165" s="184">
        <v>45904</v>
      </c>
      <c r="F165" s="18" t="s">
        <v>306</v>
      </c>
      <c r="G165" s="18">
        <v>1208000</v>
      </c>
      <c r="H165" s="18">
        <v>1015126.05</v>
      </c>
      <c r="I165" s="170" t="s">
        <v>27</v>
      </c>
      <c r="J165" s="171">
        <f>VLOOKUP(I165,retfuente4[#All],3,FALSE)</f>
        <v>498000</v>
      </c>
      <c r="K165" s="48" t="str">
        <f t="shared" si="102"/>
        <v>APLICA</v>
      </c>
      <c r="L165" s="134">
        <f>VLOOKUP(I165,retfuente4[#All],4,FALSE)</f>
        <v>2.5000000000000001E-2</v>
      </c>
      <c r="M165" s="130">
        <f t="shared" si="103"/>
        <v>25378.151250000003</v>
      </c>
      <c r="N165" s="132" t="s">
        <v>77</v>
      </c>
      <c r="O165" s="172">
        <f t="shared" si="110"/>
        <v>498000</v>
      </c>
      <c r="P165" s="133" t="str">
        <f t="shared" si="104"/>
        <v>APLICA</v>
      </c>
      <c r="Q165" s="134">
        <f t="shared" si="111"/>
        <v>6.0000000000000001E-3</v>
      </c>
      <c r="R165" s="130">
        <f t="shared" si="105"/>
        <v>6090.7563</v>
      </c>
      <c r="S165" s="135">
        <f t="shared" si="106"/>
        <v>1176531.0924499999</v>
      </c>
      <c r="T165" s="136"/>
      <c r="U165" s="135">
        <f t="shared" si="107"/>
        <v>31468.90755000012</v>
      </c>
    </row>
    <row r="166" spans="2:21" ht="28.5" x14ac:dyDescent="0.2">
      <c r="B166" s="173" t="s">
        <v>191</v>
      </c>
      <c r="C166" s="174" t="s">
        <v>192</v>
      </c>
      <c r="D166" s="187"/>
      <c r="E166" s="184">
        <v>45926</v>
      </c>
      <c r="F166" s="18" t="s">
        <v>307</v>
      </c>
      <c r="G166" s="18">
        <v>49700</v>
      </c>
      <c r="H166" s="18">
        <v>41764.71</v>
      </c>
      <c r="I166" s="170" t="s">
        <v>27</v>
      </c>
      <c r="J166" s="171">
        <f>VLOOKUP(I166,retfuente4[#All],3,FALSE)</f>
        <v>498000</v>
      </c>
      <c r="K166" s="48" t="str">
        <f t="shared" ref="K166:K184" si="112">IF(J166&gt;=H166,"NO APLICA","APLICA")</f>
        <v>NO APLICA</v>
      </c>
      <c r="L166" s="134">
        <f>VLOOKUP(I166,retfuente4[#All],4,FALSE)</f>
        <v>2.5000000000000001E-2</v>
      </c>
      <c r="M166" s="130">
        <f t="shared" ref="M166:M184" si="113">IF(K166="APLICA",H166*L166,0)</f>
        <v>0</v>
      </c>
      <c r="N166" s="132" t="s">
        <v>77</v>
      </c>
      <c r="O166" s="172">
        <f t="shared" si="110"/>
        <v>498000</v>
      </c>
      <c r="P166" s="133" t="str">
        <f t="shared" ref="P166:P184" si="114">IF($P$3&gt;=H166,"NO APLICA","APLICA")</f>
        <v>NO APLICA</v>
      </c>
      <c r="Q166" s="134">
        <f t="shared" si="111"/>
        <v>6.0000000000000001E-3</v>
      </c>
      <c r="R166" s="130">
        <f t="shared" ref="R166:R184" si="115">IF(P166="APLICA",H166*Q166,0)</f>
        <v>0</v>
      </c>
      <c r="S166" s="135">
        <f t="shared" ref="S166:S184" si="116">G166-(R166+M166)</f>
        <v>49700</v>
      </c>
      <c r="T166" s="136"/>
      <c r="U166" s="135">
        <f t="shared" ref="U166:U184" si="117">G166-S166</f>
        <v>0</v>
      </c>
    </row>
    <row r="167" spans="2:21" ht="28.5" x14ac:dyDescent="0.2">
      <c r="B167" s="173" t="s">
        <v>191</v>
      </c>
      <c r="C167" s="174" t="s">
        <v>192</v>
      </c>
      <c r="D167" s="187"/>
      <c r="E167" s="184">
        <v>45918</v>
      </c>
      <c r="F167" s="18" t="s">
        <v>308</v>
      </c>
      <c r="G167" s="18">
        <v>1020200</v>
      </c>
      <c r="H167" s="18">
        <v>857310.92</v>
      </c>
      <c r="I167" s="170" t="s">
        <v>27</v>
      </c>
      <c r="J167" s="171">
        <f>VLOOKUP(I167,retfuente4[#All],3,FALSE)</f>
        <v>498000</v>
      </c>
      <c r="K167" s="48" t="str">
        <f t="shared" si="112"/>
        <v>APLICA</v>
      </c>
      <c r="L167" s="134">
        <f>VLOOKUP(I167,retfuente4[#All],4,FALSE)</f>
        <v>2.5000000000000001E-2</v>
      </c>
      <c r="M167" s="130">
        <f t="shared" si="113"/>
        <v>21432.773000000001</v>
      </c>
      <c r="N167" s="132" t="s">
        <v>77</v>
      </c>
      <c r="O167" s="172">
        <f t="shared" ref="O167:O198" si="118">VLOOKUP(N167,RETEICAJULIO2025,3,FALSE)</f>
        <v>498000</v>
      </c>
      <c r="P167" s="133" t="str">
        <f t="shared" si="114"/>
        <v>APLICA</v>
      </c>
      <c r="Q167" s="134">
        <f t="shared" ref="Q167:Q184" si="119">VLOOKUP(N167,RETEICAJULIO2025,4,FALSE)</f>
        <v>6.0000000000000001E-3</v>
      </c>
      <c r="R167" s="130">
        <f t="shared" si="115"/>
        <v>5143.8655200000003</v>
      </c>
      <c r="S167" s="135">
        <f t="shared" si="116"/>
        <v>993623.36147999996</v>
      </c>
      <c r="T167" s="136"/>
      <c r="U167" s="135">
        <f t="shared" si="117"/>
        <v>26576.638520000037</v>
      </c>
    </row>
    <row r="168" spans="2:21" ht="28.5" x14ac:dyDescent="0.2">
      <c r="B168" s="173" t="s">
        <v>191</v>
      </c>
      <c r="C168" s="174" t="s">
        <v>192</v>
      </c>
      <c r="D168" s="187"/>
      <c r="E168" s="184">
        <v>45909</v>
      </c>
      <c r="F168" s="18" t="s">
        <v>309</v>
      </c>
      <c r="G168" s="18">
        <v>246000</v>
      </c>
      <c r="H168" s="18">
        <v>206722.69</v>
      </c>
      <c r="I168" s="170" t="s">
        <v>27</v>
      </c>
      <c r="J168" s="171">
        <f>VLOOKUP(I168,retfuente4[#All],3,FALSE)</f>
        <v>498000</v>
      </c>
      <c r="K168" s="48" t="str">
        <f t="shared" si="112"/>
        <v>NO APLICA</v>
      </c>
      <c r="L168" s="134">
        <f>VLOOKUP(I168,retfuente4[#All],4,FALSE)</f>
        <v>2.5000000000000001E-2</v>
      </c>
      <c r="M168" s="130">
        <f t="shared" si="113"/>
        <v>0</v>
      </c>
      <c r="N168" s="132" t="s">
        <v>77</v>
      </c>
      <c r="O168" s="172">
        <f t="shared" si="118"/>
        <v>498000</v>
      </c>
      <c r="P168" s="133" t="str">
        <f t="shared" si="114"/>
        <v>NO APLICA</v>
      </c>
      <c r="Q168" s="134">
        <f t="shared" si="119"/>
        <v>6.0000000000000001E-3</v>
      </c>
      <c r="R168" s="130">
        <f t="shared" si="115"/>
        <v>0</v>
      </c>
      <c r="S168" s="135">
        <f t="shared" si="116"/>
        <v>246000</v>
      </c>
      <c r="T168" s="136"/>
      <c r="U168" s="135">
        <f t="shared" si="117"/>
        <v>0</v>
      </c>
    </row>
    <row r="169" spans="2:21" ht="28.5" x14ac:dyDescent="0.2">
      <c r="B169" s="173" t="s">
        <v>184</v>
      </c>
      <c r="C169" s="174" t="s">
        <v>185</v>
      </c>
      <c r="D169" s="187"/>
      <c r="E169" s="184">
        <v>45912</v>
      </c>
      <c r="F169" s="18" t="s">
        <v>310</v>
      </c>
      <c r="G169" s="18">
        <v>377700</v>
      </c>
      <c r="H169" s="18">
        <v>317394.96000000002</v>
      </c>
      <c r="I169" s="170" t="s">
        <v>27</v>
      </c>
      <c r="J169" s="171">
        <f>VLOOKUP(I169,retfuente4[#All],3,FALSE)</f>
        <v>498000</v>
      </c>
      <c r="K169" s="48" t="str">
        <f t="shared" si="112"/>
        <v>NO APLICA</v>
      </c>
      <c r="L169" s="134">
        <f>VLOOKUP(I169,retfuente4[#All],4,FALSE)</f>
        <v>2.5000000000000001E-2</v>
      </c>
      <c r="M169" s="130">
        <f t="shared" si="113"/>
        <v>0</v>
      </c>
      <c r="N169" s="132" t="s">
        <v>77</v>
      </c>
      <c r="O169" s="172">
        <f t="shared" si="118"/>
        <v>498000</v>
      </c>
      <c r="P169" s="133" t="str">
        <f t="shared" si="114"/>
        <v>NO APLICA</v>
      </c>
      <c r="Q169" s="134">
        <f t="shared" si="119"/>
        <v>6.0000000000000001E-3</v>
      </c>
      <c r="R169" s="130">
        <f t="shared" si="115"/>
        <v>0</v>
      </c>
      <c r="S169" s="135">
        <f t="shared" si="116"/>
        <v>377700</v>
      </c>
      <c r="T169" s="136"/>
      <c r="U169" s="135">
        <f t="shared" si="117"/>
        <v>0</v>
      </c>
    </row>
    <row r="170" spans="2:21" ht="28.5" x14ac:dyDescent="0.2">
      <c r="B170" s="173" t="s">
        <v>191</v>
      </c>
      <c r="C170" s="174" t="s">
        <v>192</v>
      </c>
      <c r="D170" s="187"/>
      <c r="E170" s="184">
        <v>45916</v>
      </c>
      <c r="F170" s="18" t="s">
        <v>311</v>
      </c>
      <c r="G170" s="18">
        <v>49700</v>
      </c>
      <c r="H170" s="18">
        <v>41764.71</v>
      </c>
      <c r="I170" s="170" t="s">
        <v>27</v>
      </c>
      <c r="J170" s="171">
        <f>VLOOKUP(I170,retfuente4[#All],3,FALSE)</f>
        <v>498000</v>
      </c>
      <c r="K170" s="48" t="str">
        <f t="shared" si="112"/>
        <v>NO APLICA</v>
      </c>
      <c r="L170" s="134">
        <f>VLOOKUP(I170,retfuente4[#All],4,FALSE)</f>
        <v>2.5000000000000001E-2</v>
      </c>
      <c r="M170" s="130">
        <f t="shared" si="113"/>
        <v>0</v>
      </c>
      <c r="N170" s="132" t="s">
        <v>77</v>
      </c>
      <c r="O170" s="172">
        <f t="shared" si="118"/>
        <v>498000</v>
      </c>
      <c r="P170" s="133" t="str">
        <f t="shared" si="114"/>
        <v>NO APLICA</v>
      </c>
      <c r="Q170" s="134">
        <f t="shared" si="119"/>
        <v>6.0000000000000001E-3</v>
      </c>
      <c r="R170" s="130">
        <f t="shared" si="115"/>
        <v>0</v>
      </c>
      <c r="S170" s="135">
        <f t="shared" si="116"/>
        <v>49700</v>
      </c>
      <c r="T170" s="136"/>
      <c r="U170" s="135">
        <f t="shared" si="117"/>
        <v>0</v>
      </c>
    </row>
    <row r="171" spans="2:21" ht="28.5" x14ac:dyDescent="0.2">
      <c r="B171" s="173" t="s">
        <v>184</v>
      </c>
      <c r="C171" s="174" t="s">
        <v>185</v>
      </c>
      <c r="D171" s="187"/>
      <c r="E171" s="184">
        <v>45904</v>
      </c>
      <c r="F171" s="18" t="s">
        <v>312</v>
      </c>
      <c r="G171" s="18">
        <v>690000</v>
      </c>
      <c r="H171" s="18">
        <v>579831.93000000005</v>
      </c>
      <c r="I171" s="170" t="s">
        <v>27</v>
      </c>
      <c r="J171" s="171">
        <f>VLOOKUP(I171,retfuente4[#All],3,FALSE)</f>
        <v>498000</v>
      </c>
      <c r="K171" s="48" t="str">
        <f t="shared" si="112"/>
        <v>APLICA</v>
      </c>
      <c r="L171" s="134">
        <f>VLOOKUP(I171,retfuente4[#All],4,FALSE)</f>
        <v>2.5000000000000001E-2</v>
      </c>
      <c r="M171" s="130">
        <f t="shared" si="113"/>
        <v>14495.798250000002</v>
      </c>
      <c r="N171" s="132" t="s">
        <v>77</v>
      </c>
      <c r="O171" s="172">
        <f t="shared" si="118"/>
        <v>498000</v>
      </c>
      <c r="P171" s="133" t="str">
        <f t="shared" si="114"/>
        <v>APLICA</v>
      </c>
      <c r="Q171" s="134">
        <f t="shared" si="119"/>
        <v>6.0000000000000001E-3</v>
      </c>
      <c r="R171" s="130">
        <f t="shared" si="115"/>
        <v>3478.9915800000003</v>
      </c>
      <c r="S171" s="135">
        <f t="shared" si="116"/>
        <v>672025.21016999998</v>
      </c>
      <c r="T171" s="136"/>
      <c r="U171" s="135">
        <f t="shared" si="117"/>
        <v>17974.789830000023</v>
      </c>
    </row>
    <row r="172" spans="2:21" ht="28.5" x14ac:dyDescent="0.2">
      <c r="B172" s="173" t="s">
        <v>184</v>
      </c>
      <c r="C172" s="174" t="s">
        <v>185</v>
      </c>
      <c r="D172" s="187"/>
      <c r="E172" s="184">
        <v>45923</v>
      </c>
      <c r="F172" s="18" t="s">
        <v>313</v>
      </c>
      <c r="G172" s="18">
        <v>192000</v>
      </c>
      <c r="H172" s="18">
        <v>161344.54</v>
      </c>
      <c r="I172" s="170" t="s">
        <v>27</v>
      </c>
      <c r="J172" s="171">
        <f>VLOOKUP(I172,retfuente4[#All],3,FALSE)</f>
        <v>498000</v>
      </c>
      <c r="K172" s="48" t="str">
        <f t="shared" si="112"/>
        <v>NO APLICA</v>
      </c>
      <c r="L172" s="134">
        <f>VLOOKUP(I172,retfuente4[#All],4,FALSE)</f>
        <v>2.5000000000000001E-2</v>
      </c>
      <c r="M172" s="130">
        <f t="shared" si="113"/>
        <v>0</v>
      </c>
      <c r="N172" s="132" t="s">
        <v>77</v>
      </c>
      <c r="O172" s="172">
        <f t="shared" si="118"/>
        <v>498000</v>
      </c>
      <c r="P172" s="133" t="str">
        <f t="shared" si="114"/>
        <v>NO APLICA</v>
      </c>
      <c r="Q172" s="134">
        <f t="shared" si="119"/>
        <v>6.0000000000000001E-3</v>
      </c>
      <c r="R172" s="130">
        <f t="shared" si="115"/>
        <v>0</v>
      </c>
      <c r="S172" s="135">
        <f t="shared" si="116"/>
        <v>192000</v>
      </c>
      <c r="T172" s="136"/>
      <c r="U172" s="135">
        <f t="shared" si="117"/>
        <v>0</v>
      </c>
    </row>
    <row r="173" spans="2:21" ht="28.5" x14ac:dyDescent="0.2">
      <c r="B173" s="173" t="s">
        <v>184</v>
      </c>
      <c r="C173" s="174" t="s">
        <v>185</v>
      </c>
      <c r="D173" s="187"/>
      <c r="E173" s="184">
        <v>45929</v>
      </c>
      <c r="F173" s="18" t="s">
        <v>314</v>
      </c>
      <c r="G173" s="18">
        <v>4725000</v>
      </c>
      <c r="H173" s="18">
        <v>3970588.24</v>
      </c>
      <c r="I173" s="170" t="s">
        <v>27</v>
      </c>
      <c r="J173" s="171">
        <f>VLOOKUP(I173,retfuente4[#All],3,FALSE)</f>
        <v>498000</v>
      </c>
      <c r="K173" s="48" t="str">
        <f t="shared" si="112"/>
        <v>APLICA</v>
      </c>
      <c r="L173" s="134">
        <f>VLOOKUP(I173,retfuente4[#All],4,FALSE)</f>
        <v>2.5000000000000001E-2</v>
      </c>
      <c r="M173" s="130">
        <f t="shared" si="113"/>
        <v>99264.706000000006</v>
      </c>
      <c r="N173" s="132" t="s">
        <v>77</v>
      </c>
      <c r="O173" s="172">
        <f t="shared" si="118"/>
        <v>498000</v>
      </c>
      <c r="P173" s="133" t="str">
        <f t="shared" si="114"/>
        <v>APLICA</v>
      </c>
      <c r="Q173" s="134">
        <f t="shared" si="119"/>
        <v>6.0000000000000001E-3</v>
      </c>
      <c r="R173" s="130">
        <f t="shared" si="115"/>
        <v>23823.529440000002</v>
      </c>
      <c r="S173" s="135">
        <f t="shared" si="116"/>
        <v>4601911.76456</v>
      </c>
      <c r="T173" s="136"/>
      <c r="U173" s="135">
        <f t="shared" si="117"/>
        <v>123088.23543999996</v>
      </c>
    </row>
    <row r="174" spans="2:21" ht="28.5" x14ac:dyDescent="0.2">
      <c r="B174" s="173" t="s">
        <v>184</v>
      </c>
      <c r="C174" s="174" t="s">
        <v>185</v>
      </c>
      <c r="D174" s="187"/>
      <c r="E174" s="184">
        <v>45926</v>
      </c>
      <c r="F174" s="18" t="s">
        <v>315</v>
      </c>
      <c r="G174" s="18">
        <v>125300</v>
      </c>
      <c r="H174" s="18">
        <v>105294.12</v>
      </c>
      <c r="I174" s="170" t="s">
        <v>27</v>
      </c>
      <c r="J174" s="171">
        <f>VLOOKUP(I174,retfuente4[#All],3,FALSE)</f>
        <v>498000</v>
      </c>
      <c r="K174" s="48" t="str">
        <f t="shared" si="112"/>
        <v>NO APLICA</v>
      </c>
      <c r="L174" s="134">
        <f>VLOOKUP(I174,retfuente4[#All],4,FALSE)</f>
        <v>2.5000000000000001E-2</v>
      </c>
      <c r="M174" s="130">
        <f t="shared" si="113"/>
        <v>0</v>
      </c>
      <c r="N174" s="132" t="s">
        <v>77</v>
      </c>
      <c r="O174" s="172">
        <f t="shared" si="118"/>
        <v>498000</v>
      </c>
      <c r="P174" s="133" t="str">
        <f t="shared" si="114"/>
        <v>NO APLICA</v>
      </c>
      <c r="Q174" s="134">
        <f t="shared" si="119"/>
        <v>6.0000000000000001E-3</v>
      </c>
      <c r="R174" s="130">
        <f t="shared" si="115"/>
        <v>0</v>
      </c>
      <c r="S174" s="135">
        <f t="shared" si="116"/>
        <v>125300</v>
      </c>
      <c r="T174" s="136"/>
      <c r="U174" s="135">
        <f t="shared" si="117"/>
        <v>0</v>
      </c>
    </row>
    <row r="175" spans="2:21" ht="28.5" x14ac:dyDescent="0.2">
      <c r="B175" s="173" t="s">
        <v>184</v>
      </c>
      <c r="C175" s="174" t="s">
        <v>185</v>
      </c>
      <c r="D175" s="187"/>
      <c r="E175" s="184">
        <v>45924</v>
      </c>
      <c r="F175" s="18" t="s">
        <v>316</v>
      </c>
      <c r="G175" s="18">
        <v>79000</v>
      </c>
      <c r="H175" s="18">
        <v>66386.55</v>
      </c>
      <c r="I175" s="170" t="s">
        <v>27</v>
      </c>
      <c r="J175" s="171">
        <f>VLOOKUP(I175,retfuente4[#All],3,FALSE)</f>
        <v>498000</v>
      </c>
      <c r="K175" s="48" t="str">
        <f t="shared" si="112"/>
        <v>NO APLICA</v>
      </c>
      <c r="L175" s="134">
        <f>VLOOKUP(I175,retfuente4[#All],4,FALSE)</f>
        <v>2.5000000000000001E-2</v>
      </c>
      <c r="M175" s="130">
        <f t="shared" si="113"/>
        <v>0</v>
      </c>
      <c r="N175" s="132" t="s">
        <v>77</v>
      </c>
      <c r="O175" s="172">
        <f t="shared" si="118"/>
        <v>498000</v>
      </c>
      <c r="P175" s="133" t="str">
        <f t="shared" si="114"/>
        <v>NO APLICA</v>
      </c>
      <c r="Q175" s="134">
        <f t="shared" si="119"/>
        <v>6.0000000000000001E-3</v>
      </c>
      <c r="R175" s="130">
        <f t="shared" si="115"/>
        <v>0</v>
      </c>
      <c r="S175" s="135">
        <f t="shared" si="116"/>
        <v>79000</v>
      </c>
      <c r="T175" s="136"/>
      <c r="U175" s="135">
        <f t="shared" si="117"/>
        <v>0</v>
      </c>
    </row>
    <row r="176" spans="2:21" ht="28.5" x14ac:dyDescent="0.2">
      <c r="B176" s="173" t="s">
        <v>184</v>
      </c>
      <c r="C176" s="174" t="s">
        <v>185</v>
      </c>
      <c r="D176" s="187"/>
      <c r="E176" s="184">
        <v>45909</v>
      </c>
      <c r="F176" s="18" t="s">
        <v>317</v>
      </c>
      <c r="G176" s="18">
        <v>1557600</v>
      </c>
      <c r="H176" s="18">
        <v>1308907.56</v>
      </c>
      <c r="I176" s="170" t="s">
        <v>27</v>
      </c>
      <c r="J176" s="171">
        <f>VLOOKUP(I176,retfuente4[#All],3,FALSE)</f>
        <v>498000</v>
      </c>
      <c r="K176" s="48" t="str">
        <f t="shared" si="112"/>
        <v>APLICA</v>
      </c>
      <c r="L176" s="134">
        <f>VLOOKUP(I176,retfuente4[#All],4,FALSE)</f>
        <v>2.5000000000000001E-2</v>
      </c>
      <c r="M176" s="130">
        <f t="shared" si="113"/>
        <v>32722.689000000002</v>
      </c>
      <c r="N176" s="132" t="s">
        <v>77</v>
      </c>
      <c r="O176" s="172">
        <f t="shared" si="118"/>
        <v>498000</v>
      </c>
      <c r="P176" s="133" t="str">
        <f t="shared" si="114"/>
        <v>APLICA</v>
      </c>
      <c r="Q176" s="134">
        <f t="shared" si="119"/>
        <v>6.0000000000000001E-3</v>
      </c>
      <c r="R176" s="130">
        <f t="shared" si="115"/>
        <v>7853.4453600000006</v>
      </c>
      <c r="S176" s="135">
        <f t="shared" si="116"/>
        <v>1517023.86564</v>
      </c>
      <c r="T176" s="136"/>
      <c r="U176" s="135">
        <f t="shared" si="117"/>
        <v>40576.134360000025</v>
      </c>
    </row>
    <row r="177" spans="2:21" ht="28.5" x14ac:dyDescent="0.2">
      <c r="B177" s="173" t="s">
        <v>184</v>
      </c>
      <c r="C177" s="174" t="s">
        <v>185</v>
      </c>
      <c r="D177" s="187"/>
      <c r="E177" s="184">
        <v>45917</v>
      </c>
      <c r="F177" s="18" t="s">
        <v>318</v>
      </c>
      <c r="G177" s="18">
        <v>28700</v>
      </c>
      <c r="H177" s="18">
        <v>24117.65</v>
      </c>
      <c r="I177" s="170" t="s">
        <v>27</v>
      </c>
      <c r="J177" s="171">
        <f>VLOOKUP(I177,retfuente4[#All],3,FALSE)</f>
        <v>498000</v>
      </c>
      <c r="K177" s="48" t="str">
        <f t="shared" si="112"/>
        <v>NO APLICA</v>
      </c>
      <c r="L177" s="134">
        <f>VLOOKUP(I177,retfuente4[#All],4,FALSE)</f>
        <v>2.5000000000000001E-2</v>
      </c>
      <c r="M177" s="130">
        <f t="shared" si="113"/>
        <v>0</v>
      </c>
      <c r="N177" s="132" t="s">
        <v>77</v>
      </c>
      <c r="O177" s="172">
        <f t="shared" si="118"/>
        <v>498000</v>
      </c>
      <c r="P177" s="133" t="str">
        <f t="shared" si="114"/>
        <v>NO APLICA</v>
      </c>
      <c r="Q177" s="134">
        <f t="shared" si="119"/>
        <v>6.0000000000000001E-3</v>
      </c>
      <c r="R177" s="130">
        <f t="shared" si="115"/>
        <v>0</v>
      </c>
      <c r="S177" s="135">
        <f t="shared" si="116"/>
        <v>28700</v>
      </c>
      <c r="T177" s="136"/>
      <c r="U177" s="135">
        <f t="shared" si="117"/>
        <v>0</v>
      </c>
    </row>
    <row r="178" spans="2:21" ht="28.5" x14ac:dyDescent="0.2">
      <c r="B178" s="173" t="s">
        <v>245</v>
      </c>
      <c r="C178" s="174" t="s">
        <v>246</v>
      </c>
      <c r="D178" s="187"/>
      <c r="E178" s="184">
        <v>45929</v>
      </c>
      <c r="F178" s="18" t="s">
        <v>319</v>
      </c>
      <c r="G178" s="18">
        <v>4000</v>
      </c>
      <c r="H178" s="18">
        <v>3361.34</v>
      </c>
      <c r="I178" s="170" t="s">
        <v>27</v>
      </c>
      <c r="J178" s="171">
        <f>VLOOKUP(I178,retfuente4[#All],3,FALSE)</f>
        <v>498000</v>
      </c>
      <c r="K178" s="48" t="str">
        <f t="shared" si="112"/>
        <v>NO APLICA</v>
      </c>
      <c r="L178" s="134">
        <f>VLOOKUP(I178,retfuente4[#All],4,FALSE)</f>
        <v>2.5000000000000001E-2</v>
      </c>
      <c r="M178" s="130">
        <f t="shared" si="113"/>
        <v>0</v>
      </c>
      <c r="N178" s="132" t="s">
        <v>77</v>
      </c>
      <c r="O178" s="172">
        <f t="shared" si="118"/>
        <v>498000</v>
      </c>
      <c r="P178" s="133" t="str">
        <f t="shared" si="114"/>
        <v>NO APLICA</v>
      </c>
      <c r="Q178" s="134">
        <f t="shared" si="119"/>
        <v>6.0000000000000001E-3</v>
      </c>
      <c r="R178" s="130">
        <f t="shared" si="115"/>
        <v>0</v>
      </c>
      <c r="S178" s="135">
        <f t="shared" si="116"/>
        <v>4000</v>
      </c>
      <c r="T178" s="136"/>
      <c r="U178" s="135">
        <f t="shared" si="117"/>
        <v>0</v>
      </c>
    </row>
    <row r="179" spans="2:21" ht="28.5" x14ac:dyDescent="0.2">
      <c r="B179" s="173" t="s">
        <v>240</v>
      </c>
      <c r="C179" s="174" t="s">
        <v>251</v>
      </c>
      <c r="D179" s="187"/>
      <c r="E179" s="184">
        <v>45911</v>
      </c>
      <c r="F179" s="18" t="s">
        <v>320</v>
      </c>
      <c r="G179" s="18">
        <v>530000</v>
      </c>
      <c r="H179" s="18">
        <v>445378.15</v>
      </c>
      <c r="I179" s="170" t="s">
        <v>27</v>
      </c>
      <c r="J179" s="171">
        <f>VLOOKUP(I179,retfuente4[#All],3,FALSE)</f>
        <v>498000</v>
      </c>
      <c r="K179" s="48" t="str">
        <f t="shared" si="112"/>
        <v>NO APLICA</v>
      </c>
      <c r="L179" s="134">
        <f>VLOOKUP(I179,retfuente4[#All],4,FALSE)</f>
        <v>2.5000000000000001E-2</v>
      </c>
      <c r="M179" s="130">
        <f t="shared" si="113"/>
        <v>0</v>
      </c>
      <c r="N179" s="132" t="s">
        <v>77</v>
      </c>
      <c r="O179" s="172">
        <f t="shared" si="118"/>
        <v>498000</v>
      </c>
      <c r="P179" s="133" t="str">
        <f t="shared" si="114"/>
        <v>NO APLICA</v>
      </c>
      <c r="Q179" s="134">
        <f t="shared" si="119"/>
        <v>6.0000000000000001E-3</v>
      </c>
      <c r="R179" s="130">
        <f t="shared" si="115"/>
        <v>0</v>
      </c>
      <c r="S179" s="135">
        <f t="shared" si="116"/>
        <v>530000</v>
      </c>
      <c r="T179" s="136"/>
      <c r="U179" s="135">
        <f t="shared" si="117"/>
        <v>0</v>
      </c>
    </row>
    <row r="180" spans="2:21" ht="28.5" x14ac:dyDescent="0.2">
      <c r="B180" s="173" t="s">
        <v>184</v>
      </c>
      <c r="C180" s="174" t="s">
        <v>185</v>
      </c>
      <c r="D180" s="187"/>
      <c r="E180" s="184">
        <v>45922</v>
      </c>
      <c r="F180" s="18" t="s">
        <v>321</v>
      </c>
      <c r="G180" s="18">
        <v>690000</v>
      </c>
      <c r="H180" s="18">
        <v>579831.93000000005</v>
      </c>
      <c r="I180" s="170" t="s">
        <v>27</v>
      </c>
      <c r="J180" s="171">
        <f>VLOOKUP(I180,retfuente4[#All],3,FALSE)</f>
        <v>498000</v>
      </c>
      <c r="K180" s="48" t="str">
        <f t="shared" si="112"/>
        <v>APLICA</v>
      </c>
      <c r="L180" s="134">
        <f>VLOOKUP(I180,retfuente4[#All],4,FALSE)</f>
        <v>2.5000000000000001E-2</v>
      </c>
      <c r="M180" s="130">
        <f t="shared" si="113"/>
        <v>14495.798250000002</v>
      </c>
      <c r="N180" s="132" t="s">
        <v>77</v>
      </c>
      <c r="O180" s="172">
        <f t="shared" si="118"/>
        <v>498000</v>
      </c>
      <c r="P180" s="133" t="str">
        <f t="shared" si="114"/>
        <v>APLICA</v>
      </c>
      <c r="Q180" s="134">
        <f t="shared" si="119"/>
        <v>6.0000000000000001E-3</v>
      </c>
      <c r="R180" s="130">
        <f t="shared" si="115"/>
        <v>3478.9915800000003</v>
      </c>
      <c r="S180" s="135">
        <f t="shared" si="116"/>
        <v>672025.21016999998</v>
      </c>
      <c r="T180" s="136"/>
      <c r="U180" s="135">
        <f t="shared" si="117"/>
        <v>17974.789830000023</v>
      </c>
    </row>
    <row r="181" spans="2:21" ht="28.5" x14ac:dyDescent="0.2">
      <c r="B181" s="173" t="s">
        <v>191</v>
      </c>
      <c r="C181" s="174" t="s">
        <v>192</v>
      </c>
      <c r="D181" s="187"/>
      <c r="E181" s="184">
        <v>45916</v>
      </c>
      <c r="F181" s="18" t="s">
        <v>322</v>
      </c>
      <c r="G181" s="18">
        <v>399500</v>
      </c>
      <c r="H181" s="18">
        <v>335714.29</v>
      </c>
      <c r="I181" s="170" t="s">
        <v>27</v>
      </c>
      <c r="J181" s="171">
        <f>VLOOKUP(I181,retfuente4[#All],3,FALSE)</f>
        <v>498000</v>
      </c>
      <c r="K181" s="48" t="str">
        <f t="shared" si="112"/>
        <v>NO APLICA</v>
      </c>
      <c r="L181" s="134">
        <f>VLOOKUP(I181,retfuente4[#All],4,FALSE)</f>
        <v>2.5000000000000001E-2</v>
      </c>
      <c r="M181" s="130">
        <f t="shared" si="113"/>
        <v>0</v>
      </c>
      <c r="N181" s="132" t="s">
        <v>77</v>
      </c>
      <c r="O181" s="172">
        <f t="shared" si="118"/>
        <v>498000</v>
      </c>
      <c r="P181" s="133" t="str">
        <f t="shared" si="114"/>
        <v>NO APLICA</v>
      </c>
      <c r="Q181" s="134">
        <f t="shared" si="119"/>
        <v>6.0000000000000001E-3</v>
      </c>
      <c r="R181" s="130">
        <f t="shared" si="115"/>
        <v>0</v>
      </c>
      <c r="S181" s="135">
        <f t="shared" si="116"/>
        <v>399500</v>
      </c>
      <c r="T181" s="136"/>
      <c r="U181" s="135">
        <f t="shared" si="117"/>
        <v>0</v>
      </c>
    </row>
    <row r="182" spans="2:21" ht="28.5" x14ac:dyDescent="0.2">
      <c r="B182" s="173" t="s">
        <v>184</v>
      </c>
      <c r="C182" s="174" t="s">
        <v>185</v>
      </c>
      <c r="D182" s="187"/>
      <c r="E182" s="184">
        <v>45911</v>
      </c>
      <c r="F182" s="18" t="s">
        <v>323</v>
      </c>
      <c r="G182" s="18">
        <v>1035000</v>
      </c>
      <c r="H182" s="18">
        <v>869747.9</v>
      </c>
      <c r="I182" s="170" t="s">
        <v>27</v>
      </c>
      <c r="J182" s="171">
        <f>VLOOKUP(I182,retfuente4[#All],3,FALSE)</f>
        <v>498000</v>
      </c>
      <c r="K182" s="48" t="str">
        <f t="shared" si="112"/>
        <v>APLICA</v>
      </c>
      <c r="L182" s="134">
        <f>VLOOKUP(I182,retfuente4[#All],4,FALSE)</f>
        <v>2.5000000000000001E-2</v>
      </c>
      <c r="M182" s="130">
        <f t="shared" si="113"/>
        <v>21743.697500000002</v>
      </c>
      <c r="N182" s="132" t="s">
        <v>77</v>
      </c>
      <c r="O182" s="172">
        <f t="shared" si="118"/>
        <v>498000</v>
      </c>
      <c r="P182" s="133" t="str">
        <f t="shared" si="114"/>
        <v>APLICA</v>
      </c>
      <c r="Q182" s="134">
        <f t="shared" si="119"/>
        <v>6.0000000000000001E-3</v>
      </c>
      <c r="R182" s="130">
        <f t="shared" si="115"/>
        <v>5218.4874</v>
      </c>
      <c r="S182" s="135">
        <f t="shared" si="116"/>
        <v>1008037.8151</v>
      </c>
      <c r="T182" s="136"/>
      <c r="U182" s="135">
        <f t="shared" si="117"/>
        <v>26962.184899999993</v>
      </c>
    </row>
    <row r="183" spans="2:21" ht="28.5" x14ac:dyDescent="0.2">
      <c r="B183" s="173" t="s">
        <v>184</v>
      </c>
      <c r="C183" s="174" t="s">
        <v>185</v>
      </c>
      <c r="D183" s="187"/>
      <c r="E183" s="184">
        <v>45908</v>
      </c>
      <c r="F183" s="18" t="s">
        <v>324</v>
      </c>
      <c r="G183" s="18">
        <v>1210150</v>
      </c>
      <c r="H183" s="18">
        <v>1016932.77</v>
      </c>
      <c r="I183" s="170" t="s">
        <v>27</v>
      </c>
      <c r="J183" s="171">
        <f>VLOOKUP(I183,retfuente4[#All],3,FALSE)</f>
        <v>498000</v>
      </c>
      <c r="K183" s="48" t="str">
        <f t="shared" si="112"/>
        <v>APLICA</v>
      </c>
      <c r="L183" s="134">
        <f>VLOOKUP(I183,retfuente4[#All],4,FALSE)</f>
        <v>2.5000000000000001E-2</v>
      </c>
      <c r="M183" s="130">
        <f t="shared" si="113"/>
        <v>25423.31925</v>
      </c>
      <c r="N183" s="132" t="s">
        <v>77</v>
      </c>
      <c r="O183" s="172">
        <f t="shared" si="118"/>
        <v>498000</v>
      </c>
      <c r="P183" s="133" t="str">
        <f t="shared" si="114"/>
        <v>APLICA</v>
      </c>
      <c r="Q183" s="134">
        <f t="shared" si="119"/>
        <v>6.0000000000000001E-3</v>
      </c>
      <c r="R183" s="130">
        <f t="shared" si="115"/>
        <v>6101.5966200000003</v>
      </c>
      <c r="S183" s="135">
        <f t="shared" si="116"/>
        <v>1178625.0841300001</v>
      </c>
      <c r="T183" s="136"/>
      <c r="U183" s="135">
        <f t="shared" si="117"/>
        <v>31524.91586999991</v>
      </c>
    </row>
    <row r="184" spans="2:21" ht="28.5" x14ac:dyDescent="0.2">
      <c r="B184" s="173" t="s">
        <v>245</v>
      </c>
      <c r="C184" s="174" t="s">
        <v>246</v>
      </c>
      <c r="D184" s="187"/>
      <c r="E184" s="184">
        <v>45905</v>
      </c>
      <c r="F184" s="18" t="s">
        <v>325</v>
      </c>
      <c r="G184" s="18">
        <v>8500</v>
      </c>
      <c r="H184" s="18">
        <v>7142.86</v>
      </c>
      <c r="I184" s="170" t="s">
        <v>27</v>
      </c>
      <c r="J184" s="171">
        <f>VLOOKUP(I184,retfuente4[#All],3,FALSE)</f>
        <v>498000</v>
      </c>
      <c r="K184" s="48" t="str">
        <f t="shared" si="112"/>
        <v>NO APLICA</v>
      </c>
      <c r="L184" s="134">
        <f>VLOOKUP(I184,retfuente4[#All],4,FALSE)</f>
        <v>2.5000000000000001E-2</v>
      </c>
      <c r="M184" s="130">
        <f t="shared" si="113"/>
        <v>0</v>
      </c>
      <c r="N184" s="132" t="s">
        <v>77</v>
      </c>
      <c r="O184" s="172">
        <f t="shared" si="118"/>
        <v>498000</v>
      </c>
      <c r="P184" s="133" t="str">
        <f t="shared" si="114"/>
        <v>NO APLICA</v>
      </c>
      <c r="Q184" s="134">
        <f t="shared" si="119"/>
        <v>6.0000000000000001E-3</v>
      </c>
      <c r="R184" s="130">
        <f t="shared" si="115"/>
        <v>0</v>
      </c>
      <c r="S184" s="135">
        <f t="shared" si="116"/>
        <v>8500</v>
      </c>
      <c r="T184" s="136"/>
      <c r="U184" s="135">
        <f t="shared" si="117"/>
        <v>0</v>
      </c>
    </row>
    <row r="185" spans="2:21" ht="15" x14ac:dyDescent="0.25">
      <c r="B185" t="s">
        <v>326</v>
      </c>
      <c r="C185"/>
      <c r="D185"/>
      <c r="E185"/>
      <c r="G185" s="24">
        <f>SUBTOTAL(109,Tabla36[Monto Factura])</f>
        <v>279077758.19</v>
      </c>
      <c r="H185" s="24">
        <f>SUBTOTAL(109,Tabla36[Base Imponible])</f>
        <v>236215049.08000013</v>
      </c>
      <c r="J185" s="17"/>
      <c r="M185" s="27">
        <f>SUBTOTAL(109,Tabla36[VALOR DE RETENCION])</f>
        <v>5355514.7037500022</v>
      </c>
      <c r="O185" s="17"/>
      <c r="R185" s="27">
        <f>SUBTOTAL(109,Tabla36[VALOR DE RETE ICA])</f>
        <v>1349193.8692199998</v>
      </c>
      <c r="S185" s="24">
        <f>SUBTOTAL(109,Tabla36[Monto a cancelar en Caja])</f>
        <v>272373049.61703008</v>
      </c>
      <c r="U185" s="85">
        <f>SUBTOTAL(109,Tabla36[Impuesto por factura])</f>
        <v>6704708.5729699973</v>
      </c>
    </row>
    <row r="187" spans="2:21" x14ac:dyDescent="0.2">
      <c r="U187" s="24"/>
    </row>
  </sheetData>
  <mergeCells count="2">
    <mergeCell ref="I4:M4"/>
    <mergeCell ref="N4:R4"/>
  </mergeCells>
  <phoneticPr fontId="13" type="noConversion"/>
  <pageMargins left="0.7" right="0.7" top="0.75" bottom="0.75" header="0.3" footer="0.3"/>
  <pageSetup scale="38" orientation="landscape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4EACDD88-C0B1-4F1F-822D-85498BE441BA}">
          <x14:formula1>
            <xm:f>'ret. ICA 2025 enero junio'!$A$2:$A$3</xm:f>
          </x14:formula1>
          <xm:sqref>N6:N184</xm:sqref>
        </x14:dataValidation>
        <x14:dataValidation type="list" allowBlank="1" showInputMessage="1" showErrorMessage="1" xr:uid="{3E0E172E-6A28-4188-A399-107FD7DAEF75}">
          <x14:formula1>
            <xm:f>'ret. fuente 2025 enero junio'!$A$2:$A$51</xm:f>
          </x14:formula1>
          <xm:sqref>J6:J38 I6:I184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65D5D-57B9-406A-8D7A-4EB3144A87B2}">
  <dimension ref="B1:F58"/>
  <sheetViews>
    <sheetView showGridLines="0" view="pageBreakPreview" zoomScale="60" zoomScaleNormal="70" workbookViewId="0">
      <selection activeCell="J51" sqref="J51"/>
    </sheetView>
  </sheetViews>
  <sheetFormatPr baseColWidth="10" defaultColWidth="11.42578125" defaultRowHeight="15" x14ac:dyDescent="0.25"/>
  <cols>
    <col min="2" max="2" width="15.140625" style="52" customWidth="1"/>
    <col min="3" max="3" width="17.28515625" customWidth="1"/>
    <col min="4" max="4" width="57.42578125" style="53" customWidth="1"/>
    <col min="5" max="5" width="22.140625" style="56" hidden="1" customWidth="1"/>
    <col min="6" max="6" width="23" style="56" bestFit="1" customWidth="1"/>
  </cols>
  <sheetData>
    <row r="1" spans="2:6" ht="18.75" x14ac:dyDescent="0.4">
      <c r="B1" s="208" t="s">
        <v>108</v>
      </c>
      <c r="C1" s="209"/>
      <c r="D1" s="210"/>
      <c r="E1" s="66"/>
    </row>
    <row r="2" spans="2:6" ht="18.75" x14ac:dyDescent="0.4">
      <c r="B2" s="211" t="s">
        <v>109</v>
      </c>
      <c r="C2" s="212"/>
      <c r="D2" s="213"/>
    </row>
    <row r="3" spans="2:6" ht="18.75" x14ac:dyDescent="0.4">
      <c r="B3" s="211" t="s">
        <v>110</v>
      </c>
      <c r="C3" s="212"/>
      <c r="D3" s="213"/>
    </row>
    <row r="5" spans="2:6" ht="18.75" x14ac:dyDescent="0.4">
      <c r="B5" s="214" t="s">
        <v>111</v>
      </c>
      <c r="C5" s="215"/>
      <c r="D5" s="216"/>
      <c r="E5" s="54" t="s">
        <v>112</v>
      </c>
      <c r="F5" s="54" t="s">
        <v>113</v>
      </c>
    </row>
    <row r="6" spans="2:6" ht="18.75" x14ac:dyDescent="0.4">
      <c r="B6" s="57"/>
      <c r="C6" s="217" t="s">
        <v>114</v>
      </c>
      <c r="D6" s="218"/>
      <c r="E6" s="58"/>
      <c r="F6" s="58"/>
    </row>
    <row r="7" spans="2:6" ht="18.75" x14ac:dyDescent="0.4">
      <c r="B7" s="49"/>
      <c r="C7" s="50"/>
      <c r="D7" s="61" t="s">
        <v>115</v>
      </c>
      <c r="E7" s="67"/>
      <c r="F7" s="67"/>
    </row>
    <row r="8" spans="2:6" ht="18.75" x14ac:dyDescent="0.4">
      <c r="B8" s="49"/>
      <c r="C8" s="50"/>
      <c r="D8" s="51" t="s">
        <v>116</v>
      </c>
      <c r="E8" s="67"/>
      <c r="F8" s="67"/>
    </row>
    <row r="9" spans="2:6" ht="18.75" x14ac:dyDescent="0.4">
      <c r="B9" s="49"/>
      <c r="C9" s="50"/>
      <c r="D9" s="61" t="s">
        <v>117</v>
      </c>
      <c r="E9" s="67"/>
      <c r="F9" s="67"/>
    </row>
    <row r="10" spans="2:6" ht="18.75" x14ac:dyDescent="0.4">
      <c r="B10" s="49"/>
      <c r="C10" s="50"/>
      <c r="D10" s="51" t="s">
        <v>118</v>
      </c>
      <c r="E10" s="67"/>
      <c r="F10" s="67"/>
    </row>
    <row r="11" spans="2:6" ht="18.75" x14ac:dyDescent="0.4">
      <c r="B11" s="49"/>
      <c r="C11" s="50"/>
      <c r="D11" s="61" t="s">
        <v>119</v>
      </c>
      <c r="E11" s="67">
        <v>147694111.28999999</v>
      </c>
      <c r="F11" s="67">
        <v>147694111.28999999</v>
      </c>
    </row>
    <row r="12" spans="2:6" ht="18.75" x14ac:dyDescent="0.4">
      <c r="B12" s="49"/>
      <c r="C12" s="50"/>
      <c r="D12" s="51" t="s">
        <v>120</v>
      </c>
      <c r="E12" s="67"/>
      <c r="F12" s="67"/>
    </row>
    <row r="13" spans="2:6" ht="18.75" x14ac:dyDescent="0.4">
      <c r="B13" s="49"/>
      <c r="C13" s="50"/>
      <c r="D13" s="61" t="s">
        <v>121</v>
      </c>
      <c r="E13" s="67"/>
      <c r="F13" s="67"/>
    </row>
    <row r="14" spans="2:6" ht="18.75" x14ac:dyDescent="0.4">
      <c r="B14" s="49"/>
      <c r="C14" s="50"/>
      <c r="D14" s="61" t="s">
        <v>122</v>
      </c>
      <c r="E14" s="67"/>
      <c r="F14" s="67"/>
    </row>
    <row r="15" spans="2:6" ht="18.75" x14ac:dyDescent="0.4">
      <c r="B15" s="49"/>
      <c r="C15" s="212" t="s">
        <v>123</v>
      </c>
      <c r="D15" s="213"/>
      <c r="E15" s="67">
        <f>SUM(E6:E14)</f>
        <v>147694111.28999999</v>
      </c>
      <c r="F15" s="64">
        <f>SUM(F6:F14)</f>
        <v>147694111.28999999</v>
      </c>
    </row>
    <row r="16" spans="2:6" ht="18.75" x14ac:dyDescent="0.4">
      <c r="B16" s="49"/>
      <c r="C16" s="202" t="s">
        <v>124</v>
      </c>
      <c r="D16" s="207"/>
      <c r="E16" s="62"/>
      <c r="F16" s="62"/>
    </row>
    <row r="17" spans="2:6" ht="18.75" x14ac:dyDescent="0.4">
      <c r="B17" s="49"/>
      <c r="C17" s="50"/>
      <c r="D17" s="51" t="s">
        <v>125</v>
      </c>
      <c r="E17" s="67"/>
      <c r="F17" s="67"/>
    </row>
    <row r="18" spans="2:6" ht="18.75" x14ac:dyDescent="0.4">
      <c r="B18" s="49"/>
      <c r="C18" s="50"/>
      <c r="D18" s="61" t="s">
        <v>126</v>
      </c>
      <c r="E18" s="67"/>
      <c r="F18" s="67"/>
    </row>
    <row r="19" spans="2:6" ht="18.75" x14ac:dyDescent="0.4">
      <c r="B19" s="49"/>
      <c r="C19" s="50"/>
      <c r="D19" s="61" t="s">
        <v>127</v>
      </c>
      <c r="E19" s="67"/>
      <c r="F19" s="67"/>
    </row>
    <row r="20" spans="2:6" ht="18.75" x14ac:dyDescent="0.4">
      <c r="B20" s="49"/>
      <c r="C20" s="50"/>
      <c r="D20" s="51" t="s">
        <v>122</v>
      </c>
      <c r="E20" s="67"/>
      <c r="F20" s="67"/>
    </row>
    <row r="21" spans="2:6" ht="18.75" x14ac:dyDescent="0.4">
      <c r="B21" s="49"/>
      <c r="C21" s="50"/>
      <c r="D21" s="63" t="s">
        <v>128</v>
      </c>
      <c r="E21" s="67"/>
      <c r="F21" s="67"/>
    </row>
    <row r="22" spans="2:6" ht="18.75" x14ac:dyDescent="0.4">
      <c r="B22" s="49"/>
      <c r="C22" s="203" t="s">
        <v>129</v>
      </c>
      <c r="D22" s="204"/>
      <c r="E22" s="67">
        <f>SUM(E17:E21)</f>
        <v>0</v>
      </c>
      <c r="F22" s="64">
        <f>SUM(F17:F21)</f>
        <v>0</v>
      </c>
    </row>
    <row r="23" spans="2:6" ht="18.75" x14ac:dyDescent="0.4">
      <c r="B23" s="49"/>
      <c r="C23" s="203" t="s">
        <v>130</v>
      </c>
      <c r="D23" s="204"/>
      <c r="E23" s="67">
        <f>SUM(E22+E15)</f>
        <v>147694111.28999999</v>
      </c>
      <c r="F23" s="64">
        <f>SUM(F22+F15)</f>
        <v>147694111.28999999</v>
      </c>
    </row>
    <row r="24" spans="2:6" ht="18.75" x14ac:dyDescent="0.4">
      <c r="B24" s="49"/>
      <c r="C24" s="50"/>
      <c r="D24" s="51"/>
      <c r="E24" s="55"/>
      <c r="F24" s="55"/>
    </row>
    <row r="25" spans="2:6" ht="18.75" x14ac:dyDescent="0.4">
      <c r="B25" s="201" t="s">
        <v>131</v>
      </c>
      <c r="C25" s="202"/>
      <c r="D25" s="207"/>
      <c r="E25" s="62"/>
      <c r="F25" s="62"/>
    </row>
    <row r="26" spans="2:6" ht="18.75" x14ac:dyDescent="0.4">
      <c r="B26" s="49"/>
      <c r="C26" s="202" t="s">
        <v>132</v>
      </c>
      <c r="D26" s="207"/>
      <c r="E26" s="62"/>
      <c r="F26" s="62"/>
    </row>
    <row r="27" spans="2:6" ht="18.75" x14ac:dyDescent="0.4">
      <c r="B27" s="49"/>
      <c r="C27" s="50"/>
      <c r="D27" s="51" t="s">
        <v>133</v>
      </c>
      <c r="E27" s="67">
        <v>634152.41</v>
      </c>
      <c r="F27" s="67">
        <v>634152.41</v>
      </c>
    </row>
    <row r="28" spans="2:6" ht="18.75" x14ac:dyDescent="0.4">
      <c r="B28" s="49"/>
      <c r="C28" s="50"/>
      <c r="D28" s="61" t="s">
        <v>134</v>
      </c>
      <c r="E28" s="67"/>
      <c r="F28" s="64"/>
    </row>
    <row r="29" spans="2:6" ht="18.75" x14ac:dyDescent="0.4">
      <c r="B29" s="49"/>
      <c r="C29" s="50"/>
      <c r="D29" s="51" t="s">
        <v>135</v>
      </c>
      <c r="E29" s="67">
        <v>900000</v>
      </c>
      <c r="F29" s="67">
        <v>900000</v>
      </c>
    </row>
    <row r="30" spans="2:6" ht="18.75" x14ac:dyDescent="0.4">
      <c r="B30" s="49"/>
      <c r="C30" s="50"/>
      <c r="D30" s="61" t="s">
        <v>136</v>
      </c>
      <c r="E30" s="67">
        <v>2951482.4</v>
      </c>
      <c r="F30" s="67">
        <v>2951482.4</v>
      </c>
    </row>
    <row r="31" spans="2:6" ht="18.75" x14ac:dyDescent="0.4">
      <c r="B31" s="49"/>
      <c r="C31" s="50"/>
      <c r="D31" s="51" t="s">
        <v>137</v>
      </c>
      <c r="E31" s="67"/>
      <c r="F31" s="67"/>
    </row>
    <row r="32" spans="2:6" ht="18.75" x14ac:dyDescent="0.4">
      <c r="B32" s="49"/>
      <c r="C32" s="50"/>
      <c r="D32" s="63" t="s">
        <v>138</v>
      </c>
      <c r="E32" s="67"/>
      <c r="F32" s="67"/>
    </row>
    <row r="33" spans="2:6" ht="18.75" x14ac:dyDescent="0.4">
      <c r="B33" s="49"/>
      <c r="C33" s="50"/>
      <c r="D33" s="63" t="s">
        <v>139</v>
      </c>
      <c r="E33" s="67">
        <v>0</v>
      </c>
      <c r="F33" s="67">
        <v>0</v>
      </c>
    </row>
    <row r="34" spans="2:6" ht="18.75" x14ac:dyDescent="0.4">
      <c r="B34" s="49"/>
      <c r="C34" s="203" t="s">
        <v>140</v>
      </c>
      <c r="D34" s="204"/>
      <c r="E34" s="67">
        <f>SUM(E27:E33)</f>
        <v>4485634.8100000005</v>
      </c>
      <c r="F34" s="67">
        <f>SUM(F27:F33)</f>
        <v>4485634.8100000005</v>
      </c>
    </row>
    <row r="35" spans="2:6" ht="18.75" x14ac:dyDescent="0.4">
      <c r="B35" s="49"/>
      <c r="C35" s="202" t="s">
        <v>141</v>
      </c>
      <c r="D35" s="207"/>
      <c r="E35" s="62"/>
      <c r="F35" s="62"/>
    </row>
    <row r="36" spans="2:6" ht="18.75" x14ac:dyDescent="0.4">
      <c r="B36" s="49"/>
      <c r="C36" s="50"/>
      <c r="D36" s="51" t="s">
        <v>133</v>
      </c>
      <c r="E36" s="67"/>
      <c r="F36" s="67"/>
    </row>
    <row r="37" spans="2:6" ht="18.75" x14ac:dyDescent="0.4">
      <c r="B37" s="49"/>
      <c r="C37" s="50"/>
      <c r="D37" s="61" t="s">
        <v>135</v>
      </c>
      <c r="E37" s="67"/>
      <c r="F37" s="67"/>
    </row>
    <row r="38" spans="2:6" ht="18.75" x14ac:dyDescent="0.4">
      <c r="B38" s="49"/>
      <c r="C38" s="50"/>
      <c r="D38" s="51" t="s">
        <v>142</v>
      </c>
      <c r="E38" s="67"/>
      <c r="F38" s="67"/>
    </row>
    <row r="39" spans="2:6" ht="18.75" x14ac:dyDescent="0.4">
      <c r="B39" s="49"/>
      <c r="C39" s="50"/>
      <c r="D39" s="63" t="s">
        <v>143</v>
      </c>
      <c r="E39" s="67"/>
      <c r="F39" s="67"/>
    </row>
    <row r="40" spans="2:6" ht="18.75" x14ac:dyDescent="0.4">
      <c r="B40" s="49"/>
      <c r="C40" s="203" t="s">
        <v>144</v>
      </c>
      <c r="D40" s="204"/>
      <c r="E40" s="67">
        <f>SUM(E36:E39)</f>
        <v>0</v>
      </c>
      <c r="F40" s="64">
        <f>SUM(F36:F39)</f>
        <v>0</v>
      </c>
    </row>
    <row r="41" spans="2:6" ht="18.75" x14ac:dyDescent="0.4">
      <c r="B41" s="49"/>
      <c r="C41" s="203" t="s">
        <v>145</v>
      </c>
      <c r="D41" s="204"/>
      <c r="E41" s="67">
        <f>SUM(E40+E34)</f>
        <v>4485634.8100000005</v>
      </c>
      <c r="F41" s="64">
        <f>SUM(F40+F34)</f>
        <v>4485634.8100000005</v>
      </c>
    </row>
    <row r="42" spans="2:6" ht="18.75" x14ac:dyDescent="0.4">
      <c r="B42" s="49"/>
      <c r="C42" s="50"/>
      <c r="D42" s="51"/>
      <c r="E42" s="55"/>
      <c r="F42" s="55"/>
    </row>
    <row r="43" spans="2:6" ht="18.75" x14ac:dyDescent="0.4">
      <c r="B43" s="201" t="s">
        <v>146</v>
      </c>
      <c r="C43" s="202"/>
      <c r="D43" s="207"/>
      <c r="E43" s="62"/>
      <c r="F43" s="62"/>
    </row>
    <row r="44" spans="2:6" ht="18.75" x14ac:dyDescent="0.4">
      <c r="B44" s="49"/>
      <c r="C44" s="50"/>
      <c r="D44" s="61" t="s">
        <v>147</v>
      </c>
      <c r="E44" s="67">
        <v>50000000</v>
      </c>
      <c r="F44" s="67">
        <v>50000000</v>
      </c>
    </row>
    <row r="45" spans="2:6" ht="18.75" x14ac:dyDescent="0.4">
      <c r="B45" s="59"/>
      <c r="C45" s="60"/>
      <c r="D45" s="61" t="s">
        <v>148</v>
      </c>
      <c r="E45" s="67">
        <v>250000000</v>
      </c>
      <c r="F45" s="67">
        <v>230000000</v>
      </c>
    </row>
    <row r="46" spans="2:6" ht="18.75" x14ac:dyDescent="0.4">
      <c r="C46" s="203" t="s">
        <v>149</v>
      </c>
      <c r="D46" s="204"/>
      <c r="E46" s="67">
        <f>SUM(E44:E45)</f>
        <v>300000000</v>
      </c>
      <c r="F46" s="64">
        <f>SUM(F42:F45)</f>
        <v>280000000</v>
      </c>
    </row>
    <row r="47" spans="2:6" ht="18.75" x14ac:dyDescent="0.4">
      <c r="D47" s="51"/>
      <c r="E47" s="68"/>
      <c r="F47" s="68"/>
    </row>
    <row r="49" spans="2:6" ht="18.75" x14ac:dyDescent="0.4">
      <c r="B49" s="201" t="s">
        <v>150</v>
      </c>
      <c r="C49" s="202"/>
      <c r="D49" s="65" t="s">
        <v>151</v>
      </c>
      <c r="E49" s="67">
        <f>E45-E15</f>
        <v>102305888.71000001</v>
      </c>
      <c r="F49" s="67">
        <f>F45-F15</f>
        <v>82305888.710000008</v>
      </c>
    </row>
    <row r="50" spans="2:6" ht="18.75" x14ac:dyDescent="0.4">
      <c r="B50" s="201" t="s">
        <v>152</v>
      </c>
      <c r="C50" s="202"/>
      <c r="D50" s="65" t="s">
        <v>153</v>
      </c>
      <c r="E50" s="67">
        <f>E34</f>
        <v>4485634.8100000005</v>
      </c>
      <c r="F50" s="67">
        <f>F34</f>
        <v>4485634.8100000005</v>
      </c>
    </row>
    <row r="51" spans="2:6" ht="18.75" x14ac:dyDescent="0.4">
      <c r="B51" s="201" t="s">
        <v>154</v>
      </c>
      <c r="C51" s="202"/>
      <c r="D51" s="65" t="s">
        <v>155</v>
      </c>
      <c r="E51" s="67">
        <f>E49-E50</f>
        <v>97820253.900000006</v>
      </c>
      <c r="F51" s="67">
        <f>F49-F50</f>
        <v>77820253.900000006</v>
      </c>
    </row>
    <row r="52" spans="2:6" ht="18.75" x14ac:dyDescent="0.4">
      <c r="B52" s="201" t="s">
        <v>139</v>
      </c>
      <c r="C52" s="202"/>
      <c r="D52" s="65" t="s">
        <v>156</v>
      </c>
      <c r="E52" s="67">
        <v>0</v>
      </c>
      <c r="F52" s="67">
        <v>0</v>
      </c>
    </row>
    <row r="53" spans="2:6" ht="18.75" x14ac:dyDescent="0.4">
      <c r="B53" s="201" t="s">
        <v>157</v>
      </c>
      <c r="C53" s="202"/>
      <c r="D53" s="65" t="s">
        <v>158</v>
      </c>
      <c r="E53" s="69">
        <f>E15/E34</f>
        <v>32.92602218993391</v>
      </c>
      <c r="F53" s="67">
        <f>F15/F34</f>
        <v>32.92602218993391</v>
      </c>
    </row>
    <row r="54" spans="2:6" ht="18.75" x14ac:dyDescent="0.4">
      <c r="B54" s="201" t="s">
        <v>159</v>
      </c>
      <c r="C54" s="202"/>
      <c r="D54" s="65" t="s">
        <v>160</v>
      </c>
      <c r="E54" s="69">
        <f>E41/E23</f>
        <v>3.037111480492528E-2</v>
      </c>
      <c r="F54" s="67">
        <f>F41/F23</f>
        <v>3.037111480492528E-2</v>
      </c>
    </row>
    <row r="55" spans="2:6" ht="35.25" customHeight="1" x14ac:dyDescent="0.4">
      <c r="B55" s="205" t="s">
        <v>161</v>
      </c>
      <c r="C55" s="206"/>
      <c r="D55" s="65" t="s">
        <v>162</v>
      </c>
      <c r="E55" s="69">
        <v>0</v>
      </c>
      <c r="F55" s="67">
        <v>0</v>
      </c>
    </row>
    <row r="56" spans="2:6" ht="18.75" x14ac:dyDescent="0.4">
      <c r="B56" s="201" t="s">
        <v>163</v>
      </c>
      <c r="C56" s="202"/>
      <c r="D56" s="65" t="s">
        <v>164</v>
      </c>
      <c r="E56" s="69">
        <f>E51/E46</f>
        <v>0.32606751300000003</v>
      </c>
      <c r="F56" s="67">
        <f>F51/F46</f>
        <v>0.27792947821428571</v>
      </c>
    </row>
    <row r="57" spans="2:6" ht="18.75" x14ac:dyDescent="0.4">
      <c r="B57" s="201" t="s">
        <v>165</v>
      </c>
      <c r="C57" s="202"/>
      <c r="D57" s="65" t="s">
        <v>166</v>
      </c>
      <c r="E57" s="69">
        <f>E51/E23</f>
        <v>0.66231654766470827</v>
      </c>
      <c r="F57" s="67">
        <f>F51/F23</f>
        <v>0.52690153466713763</v>
      </c>
    </row>
    <row r="58" spans="2:6" ht="18.75" x14ac:dyDescent="0.4">
      <c r="B58" s="201" t="s">
        <v>159</v>
      </c>
      <c r="C58" s="202"/>
      <c r="D58" s="65" t="s">
        <v>160</v>
      </c>
      <c r="E58" s="69">
        <f>E41/E23</f>
        <v>3.037111480492528E-2</v>
      </c>
      <c r="F58" s="67">
        <f>F41/F23</f>
        <v>3.037111480492528E-2</v>
      </c>
    </row>
  </sheetData>
  <mergeCells count="27">
    <mergeCell ref="B1:D1"/>
    <mergeCell ref="B2:D2"/>
    <mergeCell ref="B3:D3"/>
    <mergeCell ref="B53:C53"/>
    <mergeCell ref="C46:D46"/>
    <mergeCell ref="B25:D25"/>
    <mergeCell ref="C26:D26"/>
    <mergeCell ref="C34:D34"/>
    <mergeCell ref="C35:D35"/>
    <mergeCell ref="C40:D40"/>
    <mergeCell ref="C41:D41"/>
    <mergeCell ref="B5:D5"/>
    <mergeCell ref="C6:D6"/>
    <mergeCell ref="C15:D15"/>
    <mergeCell ref="C16:D16"/>
    <mergeCell ref="C22:D22"/>
    <mergeCell ref="B58:C58"/>
    <mergeCell ref="C23:D23"/>
    <mergeCell ref="B54:C54"/>
    <mergeCell ref="B55:C55"/>
    <mergeCell ref="B56:C56"/>
    <mergeCell ref="B57:C57"/>
    <mergeCell ref="B49:C49"/>
    <mergeCell ref="B51:C51"/>
    <mergeCell ref="B50:C50"/>
    <mergeCell ref="B52:C52"/>
    <mergeCell ref="B43:D43"/>
  </mergeCells>
  <phoneticPr fontId="13" type="noConversion"/>
  <pageMargins left="0.7" right="0.7" top="0.75" bottom="0.75" header="0.3" footer="0.3"/>
  <pageSetup scale="72" orientation="portrait" r:id="rId1"/>
  <rowBreaks count="1" manualBreakCount="1">
    <brk id="4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3</vt:i4>
      </vt:variant>
    </vt:vector>
  </HeadingPairs>
  <TitlesOfParts>
    <vt:vector size="11" baseType="lpstr">
      <vt:lpstr>Proveedores</vt:lpstr>
      <vt:lpstr>Certificado</vt:lpstr>
      <vt:lpstr>ret. fuente 2025 JULIO </vt:lpstr>
      <vt:lpstr>ret. ICA 2025 JULIO</vt:lpstr>
      <vt:lpstr>ret. fuente 2025 enero junio</vt:lpstr>
      <vt:lpstr>ret. ICA 2025 enero junio</vt:lpstr>
      <vt:lpstr>RETENCION 2025</vt:lpstr>
      <vt:lpstr>INDICADORES</vt:lpstr>
      <vt:lpstr>'RETENCION 2025'!Área_de_impresión</vt:lpstr>
      <vt:lpstr>RETEICAJULIO2025</vt:lpstr>
      <vt:lpstr>Tretefjulio2025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Jairo Medicis Mocoa</dc:creator>
  <cp:keywords/>
  <dc:description/>
  <cp:lastModifiedBy>Juan Medicis</cp:lastModifiedBy>
  <cp:revision/>
  <dcterms:created xsi:type="dcterms:W3CDTF">2024-04-22T21:11:15Z</dcterms:created>
  <dcterms:modified xsi:type="dcterms:W3CDTF">2025-11-26T23:40:41Z</dcterms:modified>
  <cp:category/>
  <cp:contentStatus/>
</cp:coreProperties>
</file>